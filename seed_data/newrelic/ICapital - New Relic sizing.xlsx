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<sst xmlns="http://schemas.openxmlformats.org/spreadsheetml/2006/main" count="30" uniqueCount="18">
  <si>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</si>
  <si>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</si>
  <si>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</si>
  <si>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</si>
  <si>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</si>
  <si>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</si>
  <si>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</si>
  <si>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</si>
  <si>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</si>
  <si>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</si>
  <si>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</si>
  <si>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</si>
  <si>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</si>
  <si>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Mobile events</t>
  </si>
  <si>
    <t>&lt;- numseries</t>
  </si>
  <si>
    <t>Full Platform users</t>
  </si>
  <si>
    <t>???</t>
  </si>
  <si>
    <t>$0.40/GB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</si>
</sst>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color theme="1"/>
      <name val="Arial"/>
    </font>
    <font>
      <sz val="9.0"/>
      <color rgb="FF000000"/>
      <name val="Helvetic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2" fontId="1" numFmtId="0" xfId="0" applyFill="1" applyFont="1"/>
    <xf borderId="0" fillId="3" fontId="1" numFmtId="0" xfId="0" applyFill="1" applyFont="1"/>
    <xf borderId="0" fillId="3" fontId="1" numFmtId="3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</xdr:row>
      <xdr:rowOff>104775</xdr:rowOff>
    </xdr:from>
    <xdr:ext cx="10725150" cy="7600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/>
    <row r="2" ht="15.75" customHeight="1"/>
    <row r="3" ht="15.75" customHeight="1"/>
    <row r="4" ht="15.75" customHeight="1">
      <c r="B4" s="1" t="s">
        <v>0</v>
      </c>
      <c r="C4" s="1">
        <v>1488.0</v>
      </c>
      <c r="D4" s="2" t="s">
        <v>0</v>
      </c>
      <c r="H4" s="3"/>
    </row>
    <row r="5" ht="15.75" customHeight="1">
      <c r="B5" s="2" t="s">
        <v>1</v>
      </c>
      <c r="C5" s="1">
        <v>361.0</v>
      </c>
      <c r="D5" s="2" t="s">
        <v>0</v>
      </c>
    </row>
    <row r="6" ht="15.75" customHeight="1">
      <c r="B6" s="2" t="s">
        <v>2</v>
      </c>
      <c r="C6" s="1">
        <v>50.0</v>
      </c>
      <c r="D6" s="2" t="s">
        <v>3</v>
      </c>
    </row>
    <row r="7" ht="15.75" customHeight="1">
      <c r="B7" s="2" t="s">
        <v>4</v>
      </c>
      <c r="C7" s="1">
        <v>0.0</v>
      </c>
      <c r="D7" s="2" t="s">
        <v>5</v>
      </c>
    </row>
    <row r="8" ht="15.75" customHeight="1">
      <c r="B8" s="2" t="s">
        <v>6</v>
      </c>
      <c r="C8" s="1">
        <v>220.0</v>
      </c>
      <c r="D8" s="2" t="s">
        <v>3</v>
      </c>
    </row>
    <row r="9" ht="15.75" customHeight="1">
      <c r="B9" s="2" t="s">
        <v>7</v>
      </c>
      <c r="C9" s="1">
        <v>46.92</v>
      </c>
      <c r="D9" s="2" t="s">
        <v>0</v>
      </c>
    </row>
    <row r="10" ht="15.75" customHeight="1">
      <c r="B10" s="2" t="s">
        <v>8</v>
      </c>
      <c r="C10" s="1"/>
      <c r="D10" s="2" t="s">
        <v>0</v>
      </c>
    </row>
    <row r="11" ht="15.75" customHeight="1">
      <c r="B11" s="2" t="s">
        <v>9</v>
      </c>
      <c r="C11" s="1"/>
      <c r="D11" s="2" t="s">
        <v>5</v>
      </c>
    </row>
    <row r="12" ht="15.75" customHeight="1">
      <c r="B12" s="2" t="s">
        <v>10</v>
      </c>
      <c r="C12" s="1">
        <v>2.26</v>
      </c>
      <c r="D12" s="2" t="s">
        <v>5</v>
      </c>
    </row>
    <row r="13" ht="15.75" customHeight="1">
      <c r="B13" s="2" t="s">
        <v>11</v>
      </c>
      <c r="C13" s="1">
        <v>5.92</v>
      </c>
      <c r="D13" s="2" t="s">
        <v>12</v>
      </c>
    </row>
    <row r="14" ht="15.75" customHeight="1">
      <c r="B14" s="1" t="s">
        <v>13</v>
      </c>
      <c r="C14" s="1"/>
      <c r="D14" s="2" t="s">
        <v>12</v>
      </c>
    </row>
    <row r="15" ht="15.75" customHeight="1"/>
    <row r="16" ht="15.75" customHeight="1">
      <c r="B16" s="4" t="s">
        <v>5</v>
      </c>
      <c r="C16" s="5">
        <f>C7+C11+C12</f>
        <v>2.26</v>
      </c>
    </row>
    <row r="17" ht="15.75" customHeight="1">
      <c r="B17" s="4" t="s">
        <v>0</v>
      </c>
      <c r="C17" s="2">
        <f>C4+C5+C9+C10</f>
        <v>1895.92</v>
      </c>
      <c r="D17" s="6">
        <f>C17*1000</f>
        <v>1895920</v>
      </c>
      <c r="E17" s="2" t="s">
        <v>14</v>
      </c>
    </row>
    <row r="18" ht="15.75" customHeight="1">
      <c r="B18" s="4" t="s">
        <v>3</v>
      </c>
      <c r="C18" s="5">
        <f>C6+C8</f>
        <v>270</v>
      </c>
    </row>
    <row r="19" ht="15.75" customHeight="1">
      <c r="B19" s="4" t="s">
        <v>12</v>
      </c>
      <c r="C19" s="5">
        <f>C13+C14</f>
        <v>5.92</v>
      </c>
    </row>
    <row r="20" ht="15.75" customHeight="1">
      <c r="B20" s="7" t="s">
        <v>15</v>
      </c>
      <c r="C20" s="7" t="s">
        <v>16</v>
      </c>
    </row>
    <row r="21" ht="15.75" customHeight="1"/>
    <row r="22" ht="15.75" customHeight="1"/>
    <row r="23" ht="15.75" customHeight="1">
      <c r="C23" s="7" t="s">
        <v>17</v>
      </c>
    </row>
    <row r="24" ht="15.75" customHeight="1"/>
    <row r="25" ht="15.75" customHeight="1"/>
    <row r="26" ht="15.75" customHeight="1"/>
    <row r="27" ht="15.75" customHeight="1">
      <c r="C27" s="8">
        <f>(C18+C17+C16)*0.4</f>
        <v>867.272</v>
      </c>
      <c r="D27" s="8">
        <f>C27*30.42</f>
        <v>26382.41424</v>
      </c>
    </row>
    <row r="28" ht="15.75" customHeight="1">
      <c r="D28" s="8">
        <f>D27*12</f>
        <v>316588.9709</v>
      </c>
    </row>
    <row r="29" ht="15.75" customHeight="1"/>
    <row r="30" ht="15.75" customHeight="1"/>
    <row r="31" ht="15.75" customHeight="1">
      <c r="D31" s="9">
        <f>44668+10847+6621+1507+1407+177+70+10</f>
        <v>65307</v>
      </c>
    </row>
    <row r="32" ht="15.75" customHeight="1">
      <c r="D32" s="9">
        <f>D31*0.4*12</f>
        <v>313473.6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