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" sheetId="1" r:id="rId5"/>
    <sheet state="visible" name="Lower" sheetId="2" r:id="rId6"/>
    <sheet state="visible" name="Ingestion 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<sst xmlns="http://schemas.openxmlformats.org/spreadsheetml/2006/main" count="179" uniqueCount="54">
  <si>
    <t>e</t>
  </si>
  <si>
    <t xml:space="preserve">prod </t>
  </si>
  <si>
    <t xml:space="preserve">daily total </t>
  </si>
  <si>
    <t>Metrics</t>
  </si>
  <si>
    <t>Infrastructure Integrations</t>
  </si>
  <si>
    <t>Tracing</t>
  </si>
  <si>
    <t>APM events</t>
  </si>
  <si>
    <t>Traces</t>
  </si>
  <si>
    <t>Infra integrations</t>
  </si>
  <si>
    <t>Logging</t>
  </si>
  <si>
    <t>Logs</t>
  </si>
  <si>
    <t>Infrastructure processes</t>
  </si>
  <si>
    <t>Infrastructure Hosts</t>
  </si>
  <si>
    <t>Infrastrucure Processes</t>
  </si>
  <si>
    <t>APM Events</t>
  </si>
  <si>
    <t>Custom events</t>
  </si>
  <si>
    <t>Pixie</t>
  </si>
  <si>
    <t>Serverless</t>
  </si>
  <si>
    <t>Browser events</t>
  </si>
  <si>
    <t>RUM</t>
  </si>
  <si>
    <t>Custom Events</t>
  </si>
  <si>
    <t>Browser Events</t>
  </si>
  <si>
    <t>&lt;- numseries</t>
  </si>
  <si>
    <t xml:space="preserve">Lower </t>
  </si>
  <si>
    <t>Infrastructure Processes</t>
  </si>
  <si>
    <t>Prod 1</t>
  </si>
  <si>
    <t>Source</t>
  </si>
  <si>
    <t>Last 30 days (GB)</t>
  </si>
  <si>
    <t>Avg Dailly Ingest (GB)</t>
  </si>
  <si>
    <t>SLMBytes</t>
  </si>
  <si>
    <t>Prod 2</t>
  </si>
  <si>
    <t>Lower 1</t>
  </si>
  <si>
    <t>Lower 2</t>
  </si>
  <si>
    <t>Lower 3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</si>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</sst>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  <font>
      <sz val="11.0"/>
      <color rgb="FF1F1F1F"/>
      <name val="&quot;Google Sans&quot;"/>
    </font>
    <font>
      <sz val="12.0"/>
      <color rgb="FF000000"/>
      <name val="Aptos"/>
    </font>
    <font>
      <sz val="12.0"/>
      <color rgb="FF000000"/>
      <name val="Arial"/>
    </font>
    <font>
      <sz val="12.0"/>
      <color rgb="FF000000"/>
      <name val="Helvetic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0F4F9"/>
        <bgColor rgb="FFF0F4F9"/>
      </patternFill>
    </fill>
  </fills>
  <borders count="2">
    <border/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1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5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 vertical="top"/>
    </xf>
    <xf borderId="1" fillId="0" fontId="5" numFmtId="4" xfId="0" applyAlignment="1" applyBorder="1" applyFont="1" applyNumberFormat="1">
      <alignment readingOrder="0" vertical="top"/>
    </xf>
    <xf borderId="0" fillId="0" fontId="6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horizontal="left" readingOrder="0" vertical="top"/>
    </xf>
    <xf borderId="1" fillId="0" fontId="5" numFmtId="4" xfId="0" applyAlignment="1" applyBorder="1" applyFont="1" applyNumberFormat="1">
      <alignment horizontal="left" readingOrder="0" vertical="top"/>
    </xf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5"/>
    <col customWidth="1" min="3" max="6" width="12.63"/>
    <col customWidth="1" min="7" max="7" width="24.63"/>
    <col customWidth="1" min="8" max="8" width="8.38"/>
  </cols>
  <sheetData>
    <row r="1" ht="15.75" customHeight="1">
      <c r="A1" s="1" t="s">
        <v>0</v>
      </c>
    </row>
    <row r="2" ht="15.75" customHeight="1"/>
    <row r="3" ht="15.75" customHeight="1">
      <c r="G3" s="1" t="s">
        <v>1</v>
      </c>
      <c r="H3" s="1" t="s">
        <v>2</v>
      </c>
    </row>
    <row r="4" ht="15.75" customHeight="1">
      <c r="B4" s="2" t="s">
        <v>3</v>
      </c>
      <c r="C4" s="3">
        <v>162.0</v>
      </c>
      <c r="D4" s="4" t="s">
        <v>3</v>
      </c>
    </row>
    <row r="5" ht="15.75" customHeight="1">
      <c r="B5" s="4" t="s">
        <v>4</v>
      </c>
      <c r="C5" s="3">
        <v>177.0</v>
      </c>
      <c r="D5" s="4" t="s">
        <v>3</v>
      </c>
      <c r="G5" s="1" t="s">
        <v>5</v>
      </c>
      <c r="H5" s="5">
        <v>328.63</v>
      </c>
    </row>
    <row r="6" ht="15.75" customHeight="1">
      <c r="B6" s="4" t="s">
        <v>6</v>
      </c>
      <c r="C6" s="3">
        <v>71.0</v>
      </c>
      <c r="D6" s="4" t="s">
        <v>7</v>
      </c>
      <c r="G6" s="1" t="s">
        <v>8</v>
      </c>
      <c r="H6" s="5">
        <v>177.7</v>
      </c>
    </row>
    <row r="7" ht="15.75" customHeight="1">
      <c r="B7" s="4" t="s">
        <v>9</v>
      </c>
      <c r="C7" s="6">
        <v>138.0</v>
      </c>
      <c r="D7" s="4" t="s">
        <v>10</v>
      </c>
      <c r="G7" s="1" t="s">
        <v>3</v>
      </c>
      <c r="H7" s="5">
        <v>162.47</v>
      </c>
    </row>
    <row r="8" ht="15.75" customHeight="1">
      <c r="B8" s="4" t="s">
        <v>5</v>
      </c>
      <c r="C8" s="3">
        <v>328.0</v>
      </c>
      <c r="D8" s="4" t="s">
        <v>7</v>
      </c>
      <c r="G8" s="1" t="s">
        <v>11</v>
      </c>
      <c r="H8" s="5">
        <v>146.07000000000002</v>
      </c>
    </row>
    <row r="9" ht="15.75" customHeight="1">
      <c r="B9" s="4" t="s">
        <v>12</v>
      </c>
      <c r="C9" s="3">
        <v>18.0</v>
      </c>
      <c r="D9" s="4" t="s">
        <v>3</v>
      </c>
      <c r="G9" s="1" t="s">
        <v>9</v>
      </c>
      <c r="H9" s="5">
        <v>138.41</v>
      </c>
    </row>
    <row r="10" ht="15.75" customHeight="1">
      <c r="B10" s="4" t="s">
        <v>13</v>
      </c>
      <c r="C10" s="3">
        <v>146.0</v>
      </c>
      <c r="D10" s="4" t="s">
        <v>3</v>
      </c>
      <c r="G10" s="1" t="s">
        <v>14</v>
      </c>
      <c r="H10" s="5">
        <v>71.21</v>
      </c>
    </row>
    <row r="11" ht="15.75" customHeight="1">
      <c r="B11" s="4" t="s">
        <v>15</v>
      </c>
      <c r="C11" s="3">
        <v>3.0</v>
      </c>
      <c r="D11" s="4" t="s">
        <v>10</v>
      </c>
      <c r="G11" s="1" t="s">
        <v>16</v>
      </c>
      <c r="H11" s="5">
        <v>47.15</v>
      </c>
    </row>
    <row r="12" ht="15.75" customHeight="1">
      <c r="B12" s="4" t="s">
        <v>17</v>
      </c>
      <c r="C12" s="2">
        <v>0.0</v>
      </c>
      <c r="D12" s="4" t="s">
        <v>10</v>
      </c>
      <c r="G12" s="1" t="s">
        <v>12</v>
      </c>
      <c r="H12" s="5">
        <v>18.330000000000002</v>
      </c>
    </row>
    <row r="13" ht="15.75" customHeight="1">
      <c r="B13" s="4" t="s">
        <v>18</v>
      </c>
      <c r="C13" s="2">
        <v>4.62</v>
      </c>
      <c r="D13" s="4" t="s">
        <v>19</v>
      </c>
      <c r="G13" s="1" t="s">
        <v>20</v>
      </c>
      <c r="H13" s="5">
        <v>2.9699999999999998</v>
      </c>
    </row>
    <row r="14" ht="15.75" customHeight="1">
      <c r="G14" s="1" t="s">
        <v>21</v>
      </c>
      <c r="H14" s="5">
        <v>4.62</v>
      </c>
    </row>
    <row r="15" ht="15.75" customHeight="1"/>
    <row r="16" ht="15.75" customHeight="1">
      <c r="B16" s="7" t="s">
        <v>10</v>
      </c>
      <c r="C16" s="8">
        <f>C7+C11+C12</f>
        <v>141</v>
      </c>
    </row>
    <row r="17" ht="15.75" customHeight="1">
      <c r="B17" s="7" t="s">
        <v>3</v>
      </c>
      <c r="C17" s="9">
        <f>C4+C5+C9+C10</f>
        <v>503</v>
      </c>
      <c r="D17" s="10">
        <f>C17*1000</f>
        <v>503000</v>
      </c>
      <c r="E17" s="4" t="s">
        <v>22</v>
      </c>
    </row>
    <row r="18" ht="15.75" customHeight="1">
      <c r="B18" s="7" t="s">
        <v>7</v>
      </c>
      <c r="C18" s="10">
        <f>C6+C8</f>
        <v>399</v>
      </c>
    </row>
    <row r="19" ht="15.75" customHeight="1">
      <c r="B19" s="7" t="s">
        <v>19</v>
      </c>
      <c r="C19" s="11">
        <f>C13</f>
        <v>4.62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5"/>
    <col customWidth="1" min="3" max="6" width="12.63"/>
    <col customWidth="1" min="7" max="7" width="24.63"/>
    <col customWidth="1" min="8" max="8" width="8.38"/>
  </cols>
  <sheetData>
    <row r="1" ht="15.75" customHeight="1">
      <c r="A1" s="1" t="s">
        <v>0</v>
      </c>
    </row>
    <row r="2" ht="15.75" customHeight="1"/>
    <row r="3" ht="15.75" customHeight="1">
      <c r="G3" s="1" t="s">
        <v>23</v>
      </c>
    </row>
    <row r="4" ht="15.75" customHeight="1">
      <c r="B4" s="2" t="s">
        <v>3</v>
      </c>
      <c r="C4" s="3">
        <v>366.23</v>
      </c>
      <c r="D4" s="4" t="s">
        <v>3</v>
      </c>
    </row>
    <row r="5" ht="15.75" customHeight="1">
      <c r="B5" s="4" t="s">
        <v>4</v>
      </c>
      <c r="C5" s="3">
        <v>67.08</v>
      </c>
      <c r="D5" s="4" t="s">
        <v>3</v>
      </c>
      <c r="G5" s="1"/>
    </row>
    <row r="6" ht="15.75" customHeight="1">
      <c r="B6" s="4" t="s">
        <v>6</v>
      </c>
      <c r="C6" s="3">
        <v>6.43</v>
      </c>
      <c r="D6" s="4" t="s">
        <v>7</v>
      </c>
      <c r="G6" s="1" t="s">
        <v>9</v>
      </c>
      <c r="H6" s="5">
        <v>563.52</v>
      </c>
    </row>
    <row r="7" ht="15.75" customHeight="1">
      <c r="B7" s="4" t="s">
        <v>9</v>
      </c>
      <c r="C7" s="6">
        <v>563.52</v>
      </c>
      <c r="D7" s="4" t="s">
        <v>10</v>
      </c>
      <c r="G7" s="1" t="s">
        <v>5</v>
      </c>
      <c r="H7" s="5">
        <v>54.53</v>
      </c>
    </row>
    <row r="8" ht="15.75" customHeight="1">
      <c r="B8" s="4" t="s">
        <v>5</v>
      </c>
      <c r="C8" s="3">
        <v>54.53</v>
      </c>
      <c r="D8" s="4" t="s">
        <v>7</v>
      </c>
      <c r="G8" s="1" t="s">
        <v>24</v>
      </c>
      <c r="H8" s="5">
        <v>32.18</v>
      </c>
    </row>
    <row r="9" ht="15.75" customHeight="1">
      <c r="B9" s="4" t="s">
        <v>12</v>
      </c>
      <c r="C9" s="3">
        <v>4.92</v>
      </c>
      <c r="D9" s="4" t="s">
        <v>3</v>
      </c>
      <c r="G9" s="1" t="s">
        <v>4</v>
      </c>
      <c r="H9" s="5">
        <v>67.08000000000001</v>
      </c>
    </row>
    <row r="10" ht="15.75" customHeight="1">
      <c r="B10" s="4" t="s">
        <v>13</v>
      </c>
      <c r="C10" s="3">
        <v>32.18</v>
      </c>
      <c r="D10" s="4" t="s">
        <v>3</v>
      </c>
      <c r="G10" s="1" t="s">
        <v>3</v>
      </c>
      <c r="H10" s="5">
        <v>366.23</v>
      </c>
    </row>
    <row r="11" ht="15.75" customHeight="1">
      <c r="B11" s="4" t="s">
        <v>15</v>
      </c>
      <c r="C11" s="3">
        <v>1.0</v>
      </c>
      <c r="D11" s="4" t="s">
        <v>10</v>
      </c>
      <c r="G11" s="1" t="s">
        <v>21</v>
      </c>
      <c r="H11" s="5">
        <v>0.13</v>
      </c>
    </row>
    <row r="12" ht="15.75" customHeight="1">
      <c r="B12" s="4" t="s">
        <v>17</v>
      </c>
      <c r="C12" s="2">
        <v>0.0</v>
      </c>
      <c r="D12" s="4" t="s">
        <v>10</v>
      </c>
      <c r="G12" s="1" t="s">
        <v>14</v>
      </c>
      <c r="H12" s="5">
        <v>6.430000000000001</v>
      </c>
    </row>
    <row r="13" ht="15.75" customHeight="1">
      <c r="B13" s="4" t="s">
        <v>18</v>
      </c>
      <c r="C13" s="2">
        <v>0.13</v>
      </c>
      <c r="D13" s="4" t="s">
        <v>19</v>
      </c>
      <c r="G13" s="1" t="s">
        <v>12</v>
      </c>
      <c r="H13" s="5">
        <v>4.92</v>
      </c>
    </row>
    <row r="14" ht="15.75" customHeight="1">
      <c r="G14" s="1" t="s">
        <v>20</v>
      </c>
      <c r="H14" s="5">
        <v>0.96</v>
      </c>
    </row>
    <row r="15" ht="15.75" customHeight="1"/>
    <row r="16" ht="15.75" customHeight="1">
      <c r="B16" s="7" t="s">
        <v>10</v>
      </c>
      <c r="C16" s="8">
        <f>C7+C11+C12</f>
        <v>564.52</v>
      </c>
    </row>
    <row r="17" ht="15.75" customHeight="1">
      <c r="B17" s="7" t="s">
        <v>3</v>
      </c>
      <c r="C17" s="9">
        <f>C4+C5+C9+C10</f>
        <v>470.41</v>
      </c>
      <c r="D17" s="10">
        <f>C17*1000</f>
        <v>470410</v>
      </c>
      <c r="E17" s="4" t="s">
        <v>22</v>
      </c>
    </row>
    <row r="18" ht="15.75" customHeight="1">
      <c r="B18" s="7" t="s">
        <v>7</v>
      </c>
      <c r="C18" s="10">
        <f>C6+C8</f>
        <v>60.96</v>
      </c>
    </row>
    <row r="19" ht="15.75" customHeight="1">
      <c r="B19" s="7" t="s">
        <v>19</v>
      </c>
      <c r="C19" s="11">
        <f>C13</f>
        <v>0.13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3" max="3" width="27.25"/>
    <col customWidth="1" min="5" max="5" width="31.88"/>
  </cols>
  <sheetData>
    <row r="1">
      <c r="A1" s="13" t="s">
        <v>25</v>
      </c>
      <c r="E1" s="1" t="s">
        <v>1</v>
      </c>
      <c r="F1" s="1" t="s">
        <v>2</v>
      </c>
    </row>
    <row r="2">
      <c r="A2" s="14" t="s">
        <v>26</v>
      </c>
      <c r="B2" s="14" t="s">
        <v>27</v>
      </c>
      <c r="C2" s="14" t="s">
        <v>28</v>
      </c>
    </row>
    <row r="3">
      <c r="A3" s="14" t="s">
        <v>5</v>
      </c>
      <c r="B3" s="15">
        <v>9600.59</v>
      </c>
      <c r="C3" s="14">
        <v>320.02</v>
      </c>
      <c r="E3" s="14" t="s">
        <v>5</v>
      </c>
      <c r="F3" s="5">
        <f>sum(C3,C19)</f>
        <v>328.63</v>
      </c>
    </row>
    <row r="4">
      <c r="A4" s="14" t="s">
        <v>8</v>
      </c>
      <c r="B4" s="15">
        <v>5175.96</v>
      </c>
      <c r="C4" s="14">
        <v>172.53</v>
      </c>
      <c r="E4" s="14" t="s">
        <v>8</v>
      </c>
      <c r="F4" s="5">
        <f t="shared" ref="F4:F5" si="1">sum(C4,C21)</f>
        <v>177.7</v>
      </c>
    </row>
    <row r="5">
      <c r="A5" s="14" t="s">
        <v>3</v>
      </c>
      <c r="B5" s="15">
        <v>4732.9</v>
      </c>
      <c r="C5" s="14">
        <v>157.76</v>
      </c>
      <c r="E5" s="14" t="s">
        <v>3</v>
      </c>
      <c r="F5" s="5">
        <f t="shared" si="1"/>
        <v>162.47</v>
      </c>
    </row>
    <row r="6">
      <c r="A6" s="14" t="s">
        <v>11</v>
      </c>
      <c r="B6" s="15">
        <v>4195.72</v>
      </c>
      <c r="C6" s="14">
        <v>139.86</v>
      </c>
      <c r="E6" s="14" t="s">
        <v>11</v>
      </c>
      <c r="F6" s="5">
        <f>sum(C6,C20)</f>
        <v>146.07</v>
      </c>
    </row>
    <row r="7">
      <c r="A7" s="14" t="s">
        <v>9</v>
      </c>
      <c r="B7" s="15">
        <v>3718.75</v>
      </c>
      <c r="C7" s="14">
        <v>123.96</v>
      </c>
      <c r="E7" s="14" t="s">
        <v>9</v>
      </c>
      <c r="F7" s="5">
        <f>sum(C7,C18)</f>
        <v>138.41</v>
      </c>
    </row>
    <row r="8">
      <c r="A8" s="14" t="s">
        <v>14</v>
      </c>
      <c r="B8" s="15">
        <v>2066.45</v>
      </c>
      <c r="C8" s="14">
        <v>68.88</v>
      </c>
      <c r="E8" s="14" t="s">
        <v>14</v>
      </c>
      <c r="F8" s="5">
        <f>sum(C8,C24)</f>
        <v>71.21</v>
      </c>
    </row>
    <row r="9">
      <c r="A9" s="14" t="s">
        <v>16</v>
      </c>
      <c r="B9" s="15">
        <v>1414.59</v>
      </c>
      <c r="C9" s="14">
        <v>47.15</v>
      </c>
      <c r="E9" s="14" t="s">
        <v>16</v>
      </c>
      <c r="F9" s="5">
        <f>sum(C9,)</f>
        <v>47.15</v>
      </c>
    </row>
    <row r="10">
      <c r="A10" s="14" t="s">
        <v>12</v>
      </c>
      <c r="B10" s="14">
        <v>488.94</v>
      </c>
      <c r="C10" s="14">
        <v>16.3</v>
      </c>
      <c r="E10" s="14" t="s">
        <v>12</v>
      </c>
      <c r="F10" s="5">
        <f t="shared" ref="F10:F11" si="2">sum(C10,C25)</f>
        <v>18.33</v>
      </c>
    </row>
    <row r="11">
      <c r="A11" s="14" t="s">
        <v>20</v>
      </c>
      <c r="B11" s="14">
        <v>72.54</v>
      </c>
      <c r="C11" s="14">
        <v>2.42</v>
      </c>
      <c r="E11" s="14" t="s">
        <v>20</v>
      </c>
      <c r="F11" s="5">
        <f t="shared" si="2"/>
        <v>2.97</v>
      </c>
    </row>
    <row r="12">
      <c r="A12" s="14" t="s">
        <v>21</v>
      </c>
      <c r="B12" s="14">
        <v>38.75</v>
      </c>
      <c r="C12" s="14">
        <v>1.29</v>
      </c>
      <c r="E12" s="14" t="s">
        <v>21</v>
      </c>
      <c r="F12" s="5">
        <f>sum(C12,C23)</f>
        <v>4.62</v>
      </c>
    </row>
    <row r="13">
      <c r="A13" s="14" t="s">
        <v>29</v>
      </c>
      <c r="B13" s="14">
        <v>0.17</v>
      </c>
      <c r="C13" s="14">
        <v>0.01</v>
      </c>
      <c r="E13" s="14"/>
    </row>
    <row r="15">
      <c r="A15" s="13" t="s">
        <v>30</v>
      </c>
      <c r="E15" s="16" t="s">
        <v>23</v>
      </c>
    </row>
    <row r="16">
      <c r="A16" s="17"/>
    </row>
    <row r="17">
      <c r="A17" s="18" t="s">
        <v>26</v>
      </c>
      <c r="B17" s="18" t="s">
        <v>27</v>
      </c>
      <c r="C17" s="18" t="s">
        <v>28</v>
      </c>
      <c r="E17" s="18"/>
    </row>
    <row r="18">
      <c r="A18" s="18" t="s">
        <v>9</v>
      </c>
      <c r="B18" s="18">
        <v>433.64</v>
      </c>
      <c r="C18" s="18">
        <v>14.45</v>
      </c>
      <c r="E18" s="18" t="s">
        <v>9</v>
      </c>
      <c r="F18" s="5">
        <f>SUM(C31,C44,C59)</f>
        <v>563.52</v>
      </c>
    </row>
    <row r="19">
      <c r="A19" s="18" t="s">
        <v>5</v>
      </c>
      <c r="B19" s="18">
        <v>258.29</v>
      </c>
      <c r="C19" s="18">
        <v>8.61</v>
      </c>
      <c r="E19" s="18" t="s">
        <v>5</v>
      </c>
      <c r="F19" s="5">
        <f>sum(C34,C47,C58)</f>
        <v>54.53</v>
      </c>
    </row>
    <row r="20">
      <c r="A20" s="18" t="s">
        <v>24</v>
      </c>
      <c r="B20" s="18">
        <v>186.28</v>
      </c>
      <c r="C20" s="18">
        <v>6.21</v>
      </c>
      <c r="E20" s="18" t="s">
        <v>24</v>
      </c>
      <c r="F20" s="5">
        <f>sum(C35)</f>
        <v>32.18</v>
      </c>
    </row>
    <row r="21">
      <c r="A21" s="18" t="s">
        <v>4</v>
      </c>
      <c r="B21" s="18">
        <v>155.05</v>
      </c>
      <c r="C21" s="18">
        <v>5.17</v>
      </c>
      <c r="E21" s="18" t="s">
        <v>4</v>
      </c>
      <c r="F21" s="5">
        <f>sum(C33,C48,C57)</f>
        <v>67.08</v>
      </c>
    </row>
    <row r="22">
      <c r="A22" s="18" t="s">
        <v>3</v>
      </c>
      <c r="B22" s="18">
        <v>141.32</v>
      </c>
      <c r="C22" s="18">
        <v>4.71</v>
      </c>
      <c r="E22" s="18" t="s">
        <v>3</v>
      </c>
      <c r="F22" s="5">
        <f>sum(C46,C55,C32)</f>
        <v>366.23</v>
      </c>
    </row>
    <row r="23">
      <c r="A23" s="18" t="s">
        <v>21</v>
      </c>
      <c r="B23" s="18">
        <v>99.85</v>
      </c>
      <c r="C23" s="18">
        <v>3.33</v>
      </c>
      <c r="E23" s="18" t="s">
        <v>21</v>
      </c>
      <c r="F23" s="5">
        <f>sum(C40,C61)</f>
        <v>0.13</v>
      </c>
    </row>
    <row r="24">
      <c r="A24" s="18" t="s">
        <v>14</v>
      </c>
      <c r="B24" s="18">
        <v>69.87</v>
      </c>
      <c r="C24" s="18">
        <v>2.33</v>
      </c>
      <c r="E24" s="18" t="s">
        <v>14</v>
      </c>
      <c r="F24" s="5">
        <f>sum(C37,C49,C60)</f>
        <v>6.43</v>
      </c>
    </row>
    <row r="25">
      <c r="A25" s="18" t="s">
        <v>12</v>
      </c>
      <c r="B25" s="18">
        <v>61.02</v>
      </c>
      <c r="C25" s="18">
        <v>2.03</v>
      </c>
      <c r="E25" s="18" t="s">
        <v>12</v>
      </c>
      <c r="F25" s="5">
        <f>sum(C38,C50,C56)</f>
        <v>4.92</v>
      </c>
    </row>
    <row r="26">
      <c r="A26" s="18" t="s">
        <v>20</v>
      </c>
      <c r="B26" s="18">
        <v>16.54</v>
      </c>
      <c r="C26" s="18">
        <v>0.55</v>
      </c>
      <c r="E26" s="18" t="s">
        <v>20</v>
      </c>
      <c r="F26" s="5">
        <f>sum(C39,)</f>
        <v>0.96</v>
      </c>
    </row>
    <row r="28">
      <c r="A28" s="13" t="s">
        <v>31</v>
      </c>
    </row>
    <row r="29">
      <c r="A29" s="17"/>
    </row>
    <row r="30">
      <c r="A30" s="18" t="s">
        <v>26</v>
      </c>
      <c r="B30" s="18" t="s">
        <v>27</v>
      </c>
      <c r="C30" s="18" t="s">
        <v>28</v>
      </c>
    </row>
    <row r="31">
      <c r="A31" s="18" t="s">
        <v>9</v>
      </c>
      <c r="B31" s="19">
        <v>16902.78</v>
      </c>
      <c r="C31" s="18">
        <v>563.43</v>
      </c>
    </row>
    <row r="32">
      <c r="A32" s="18" t="s">
        <v>3</v>
      </c>
      <c r="B32" s="19">
        <v>6639.47</v>
      </c>
      <c r="C32" s="18">
        <v>221.32</v>
      </c>
    </row>
    <row r="33">
      <c r="A33" s="18" t="s">
        <v>4</v>
      </c>
      <c r="B33" s="19">
        <v>1537.3</v>
      </c>
      <c r="C33" s="18">
        <v>51.24</v>
      </c>
    </row>
    <row r="34">
      <c r="A34" s="18" t="s">
        <v>5</v>
      </c>
      <c r="B34" s="19">
        <v>1081.84</v>
      </c>
      <c r="C34" s="18">
        <v>36.06</v>
      </c>
    </row>
    <row r="35">
      <c r="A35" s="18" t="s">
        <v>24</v>
      </c>
      <c r="B35" s="18">
        <v>965.51</v>
      </c>
      <c r="C35" s="18">
        <v>32.18</v>
      </c>
    </row>
    <row r="36">
      <c r="A36" s="18" t="s">
        <v>16</v>
      </c>
      <c r="B36" s="18">
        <v>236.8</v>
      </c>
      <c r="C36" s="18">
        <v>7.89</v>
      </c>
    </row>
    <row r="37">
      <c r="A37" s="18" t="s">
        <v>14</v>
      </c>
      <c r="B37" s="18">
        <v>128.26</v>
      </c>
      <c r="C37" s="18">
        <v>4.28</v>
      </c>
    </row>
    <row r="38">
      <c r="A38" s="18" t="s">
        <v>12</v>
      </c>
      <c r="B38" s="18">
        <v>93.09</v>
      </c>
      <c r="C38" s="18">
        <v>3.1</v>
      </c>
    </row>
    <row r="39">
      <c r="A39" s="18" t="s">
        <v>20</v>
      </c>
      <c r="B39" s="18">
        <v>28.87</v>
      </c>
      <c r="C39" s="18">
        <v>0.96</v>
      </c>
    </row>
    <row r="40">
      <c r="A40" s="18" t="s">
        <v>21</v>
      </c>
      <c r="B40" s="18">
        <v>3.07</v>
      </c>
      <c r="C40" s="18">
        <v>0.1</v>
      </c>
    </row>
    <row r="42">
      <c r="A42" s="13" t="s">
        <v>32</v>
      </c>
    </row>
    <row r="43">
      <c r="A43" s="17"/>
    </row>
    <row r="44">
      <c r="A44" s="18" t="s">
        <v>26</v>
      </c>
      <c r="B44" s="18" t="s">
        <v>27</v>
      </c>
      <c r="C44" s="18" t="s">
        <v>28</v>
      </c>
    </row>
    <row r="45">
      <c r="A45" s="18" t="s">
        <v>9</v>
      </c>
      <c r="B45" s="19">
        <v>7727.45</v>
      </c>
      <c r="C45" s="18">
        <v>257.58</v>
      </c>
    </row>
    <row r="46">
      <c r="A46" s="18" t="s">
        <v>3</v>
      </c>
      <c r="B46" s="19">
        <v>4250.59</v>
      </c>
      <c r="C46" s="18">
        <v>141.69</v>
      </c>
    </row>
    <row r="47">
      <c r="A47" s="18" t="s">
        <v>5</v>
      </c>
      <c r="B47" s="18">
        <v>545.42</v>
      </c>
      <c r="C47" s="18">
        <v>18.18</v>
      </c>
    </row>
    <row r="48">
      <c r="A48" s="18" t="s">
        <v>4</v>
      </c>
      <c r="B48" s="18">
        <v>463.97</v>
      </c>
      <c r="C48" s="18">
        <v>15.47</v>
      </c>
    </row>
    <row r="49">
      <c r="A49" s="18" t="s">
        <v>14</v>
      </c>
      <c r="B49" s="18">
        <v>63.4</v>
      </c>
      <c r="C49" s="18">
        <v>2.11</v>
      </c>
    </row>
    <row r="50">
      <c r="A50" s="18" t="s">
        <v>12</v>
      </c>
      <c r="B50" s="18">
        <v>29.96</v>
      </c>
      <c r="C50" s="18">
        <v>1.0</v>
      </c>
    </row>
    <row r="52">
      <c r="A52" s="13" t="s">
        <v>33</v>
      </c>
    </row>
    <row r="53">
      <c r="A53" s="17"/>
    </row>
    <row r="54">
      <c r="A54" s="18" t="s">
        <v>26</v>
      </c>
      <c r="B54" s="18" t="s">
        <v>27</v>
      </c>
      <c r="C54" s="18" t="s">
        <v>28</v>
      </c>
    </row>
    <row r="55">
      <c r="A55" s="18" t="s">
        <v>3</v>
      </c>
      <c r="B55" s="18">
        <v>96.53</v>
      </c>
      <c r="C55" s="18">
        <v>3.22</v>
      </c>
    </row>
    <row r="56">
      <c r="A56" s="18" t="s">
        <v>12</v>
      </c>
      <c r="B56" s="18">
        <v>24.52</v>
      </c>
      <c r="C56" s="18">
        <v>0.82</v>
      </c>
    </row>
    <row r="57">
      <c r="A57" s="18" t="s">
        <v>4</v>
      </c>
      <c r="B57" s="18">
        <v>11.03</v>
      </c>
      <c r="C57" s="18">
        <v>0.37</v>
      </c>
    </row>
    <row r="58">
      <c r="A58" s="18" t="s">
        <v>5</v>
      </c>
      <c r="B58" s="18">
        <v>8.56</v>
      </c>
      <c r="C58" s="18">
        <v>0.29</v>
      </c>
    </row>
    <row r="59">
      <c r="A59" s="18" t="s">
        <v>9</v>
      </c>
      <c r="B59" s="18">
        <v>2.58</v>
      </c>
      <c r="C59" s="18">
        <v>0.09</v>
      </c>
    </row>
    <row r="60">
      <c r="A60" s="18" t="s">
        <v>14</v>
      </c>
      <c r="B60" s="18">
        <v>1.19</v>
      </c>
      <c r="C60" s="18">
        <v>0.04</v>
      </c>
    </row>
    <row r="61">
      <c r="A61" s="18" t="s">
        <v>21</v>
      </c>
      <c r="B61" s="18">
        <v>0.78</v>
      </c>
      <c r="C61" s="18">
        <v>0.03</v>
      </c>
    </row>
    <row r="62">
      <c r="A6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21" t="s">
        <v>34</v>
      </c>
      <c r="B1" s="21" t="s">
        <v>35</v>
      </c>
      <c r="C1" s="21" t="s">
        <v>36</v>
      </c>
    </row>
    <row r="2" ht="22.5" customHeight="1">
      <c r="A2" s="22" t="s">
        <v>37</v>
      </c>
      <c r="B2" s="23">
        <v>43921.033746979</v>
      </c>
      <c r="C2" s="24" t="str">
        <f t="shared" ref="C2:C15" si="1">B2/SUM('Area-chart-query'!$B$2:$B$15)</f>
        <v>#REF!</v>
      </c>
    </row>
    <row r="3" ht="22.5" customHeight="1">
      <c r="A3" s="22" t="s">
        <v>38</v>
      </c>
      <c r="B3" s="23">
        <v>18014.0719410419</v>
      </c>
      <c r="C3" s="24" t="str">
        <f t="shared" si="1"/>
        <v>#REF!</v>
      </c>
    </row>
    <row r="4" ht="22.5" customHeight="1">
      <c r="A4" s="22" t="s">
        <v>39</v>
      </c>
      <c r="B4" s="23">
        <v>8888.18115864599</v>
      </c>
      <c r="C4" s="24" t="str">
        <f t="shared" si="1"/>
        <v>#REF!</v>
      </c>
    </row>
    <row r="5" ht="22.5" customHeight="1">
      <c r="A5" s="22" t="s">
        <v>40</v>
      </c>
      <c r="B5" s="23">
        <v>7444.710208764</v>
      </c>
      <c r="C5" s="24" t="str">
        <f t="shared" si="1"/>
        <v>#REF!</v>
      </c>
    </row>
    <row r="6" ht="22.5" customHeight="1">
      <c r="A6" s="22" t="s">
        <v>41</v>
      </c>
      <c r="B6" s="23">
        <v>3450.622634822</v>
      </c>
      <c r="C6" s="24" t="str">
        <f t="shared" si="1"/>
        <v>#REF!</v>
      </c>
    </row>
    <row r="7" ht="22.5" customHeight="1">
      <c r="A7" s="22" t="s">
        <v>42</v>
      </c>
      <c r="B7" s="23">
        <v>2262.587374351</v>
      </c>
      <c r="C7" s="24" t="str">
        <f t="shared" si="1"/>
        <v>#REF!</v>
      </c>
    </row>
    <row r="8" ht="22.5" customHeight="1">
      <c r="A8" s="22" t="s">
        <v>43</v>
      </c>
      <c r="B8" s="23">
        <v>1372.66072911699</v>
      </c>
      <c r="C8" s="24" t="str">
        <f t="shared" si="1"/>
        <v>#REF!</v>
      </c>
    </row>
    <row r="9" ht="22.5" customHeight="1">
      <c r="A9" s="22" t="s">
        <v>44</v>
      </c>
      <c r="B9" s="23">
        <v>1190.03149920699</v>
      </c>
      <c r="C9" s="24" t="str">
        <f t="shared" si="1"/>
        <v>#REF!</v>
      </c>
    </row>
    <row r="10" ht="22.5" customHeight="1">
      <c r="A10" s="22" t="s">
        <v>45</v>
      </c>
      <c r="B10" s="23">
        <v>362.068874006</v>
      </c>
      <c r="C10" s="24" t="str">
        <f t="shared" si="1"/>
        <v>#REF!</v>
      </c>
    </row>
    <row r="11" ht="22.5" customHeight="1">
      <c r="A11" s="22" t="s">
        <v>46</v>
      </c>
      <c r="B11" s="23">
        <v>61.4057695549999</v>
      </c>
      <c r="C11" s="24" t="str">
        <f t="shared" si="1"/>
        <v>#REF!</v>
      </c>
    </row>
    <row r="12" ht="22.5" customHeight="1">
      <c r="A12" s="22" t="s">
        <v>47</v>
      </c>
      <c r="B12" s="23">
        <v>39.048805694</v>
      </c>
      <c r="C12" s="24" t="str">
        <f t="shared" si="1"/>
        <v>#REF!</v>
      </c>
    </row>
    <row r="13" ht="22.5" customHeight="1">
      <c r="A13" s="22" t="s">
        <v>48</v>
      </c>
      <c r="B13" s="23">
        <v>11.4759830819999</v>
      </c>
      <c r="C13" s="24" t="str">
        <f t="shared" si="1"/>
        <v>#REF!</v>
      </c>
    </row>
    <row r="14" ht="22.5" customHeight="1">
      <c r="A14" s="22" t="s">
        <v>49</v>
      </c>
      <c r="B14" s="23">
        <v>0.172869999999999</v>
      </c>
      <c r="C14" s="24" t="str">
        <f t="shared" si="1"/>
        <v>#REF!</v>
      </c>
    </row>
    <row r="15" ht="22.5" customHeight="1">
      <c r="A15" s="22" t="s">
        <v>50</v>
      </c>
      <c r="B15" s="23">
        <v>0.019492541</v>
      </c>
      <c r="C15" s="24" t="str">
        <f t="shared" si="1"/>
        <v>#REF!</v>
      </c>
    </row>
    <row r="16" ht="22.5" customHeight="1">
      <c r="A16" s="22"/>
      <c r="B16" s="25" t="str">
        <f>SUM('Area-chart-query'!$B$2:$B$15)</f>
        <v>#REF!</v>
      </c>
      <c r="C16" s="24" t="str">
        <f>SUM('Area-chart-query'!$C$2:$C$15)</f>
        <v>#REF!</v>
      </c>
    </row>
    <row r="18">
      <c r="D18" s="1" t="s">
        <v>51</v>
      </c>
    </row>
    <row r="19">
      <c r="D19" s="1" t="s">
        <v>52</v>
      </c>
    </row>
    <row r="20">
      <c r="D20" s="1" t="s">
        <v>53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