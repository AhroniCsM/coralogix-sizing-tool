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<sst xmlns="http://schemas.openxmlformats.org/spreadsheetml/2006/main" count="61" uniqueCount="44">
  <si>
    <t>EU</t>
  </si>
  <si>
    <t>US</t>
  </si>
  <si>
    <t>Europe</t>
  </si>
  <si>
    <t>Logging</t>
  </si>
  <si>
    <t>Metrics</t>
  </si>
  <si>
    <t>Infra Integrations</t>
  </si>
  <si>
    <t>Infrastructure Integrations</t>
  </si>
  <si>
    <t>Infra Hosts</t>
  </si>
  <si>
    <t>APM events</t>
  </si>
  <si>
    <t>Traces</t>
  </si>
  <si>
    <t>Logs</t>
  </si>
  <si>
    <t>APM Events</t>
  </si>
  <si>
    <t>Tracing</t>
  </si>
  <si>
    <t>Infrastructure Hosts</t>
  </si>
  <si>
    <t>Infra Processes</t>
  </si>
  <si>
    <t>N/A</t>
  </si>
  <si>
    <t>Infrastrucure Processes</t>
  </si>
  <si>
    <t>Custom Events</t>
  </si>
  <si>
    <t>Custom events</t>
  </si>
  <si>
    <t>Workload Bytes</t>
  </si>
  <si>
    <t>Serverless</t>
  </si>
  <si>
    <t>Browser events</t>
  </si>
  <si>
    <t>RUM</t>
  </si>
  <si>
    <t>&lt;- numseries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</si>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</sst>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3" fontId="2" numFmtId="0" xfId="0" applyFill="1" applyFont="1"/>
    <xf borderId="0" fillId="4" fontId="2" numFmtId="0" xfId="0" applyFill="1" applyFont="1"/>
    <xf borderId="0" fillId="0" fontId="2" numFmtId="3" xfId="0" applyFont="1" applyNumberFormat="1"/>
    <xf borderId="0" fillId="4" fontId="2" numFmtId="3" xfId="0" applyFont="1" applyNumberFormat="1"/>
    <xf borderId="0" fillId="4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2</xdr:row>
      <xdr:rowOff>180975</xdr:rowOff>
    </xdr:from>
    <xdr:ext cx="10601325" cy="2933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942975</xdr:colOff>
      <xdr:row>20</xdr:row>
      <xdr:rowOff>190500</xdr:rowOff>
    </xdr:from>
    <xdr:ext cx="10325100" cy="3771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>
      <c r="A1" s="1">
        <v>200.22</v>
      </c>
    </row>
    <row r="2" ht="15.75" customHeight="1">
      <c r="G2" s="1" t="s">
        <v>0</v>
      </c>
      <c r="H2" s="1" t="s">
        <v>1</v>
      </c>
      <c r="K2" s="1" t="s">
        <v>2</v>
      </c>
    </row>
    <row r="3" ht="15.75" customHeight="1">
      <c r="F3" s="1" t="s">
        <v>3</v>
      </c>
      <c r="G3" s="1">
        <v>350.2</v>
      </c>
      <c r="H3" s="1">
        <v>125.59</v>
      </c>
      <c r="I3" s="2">
        <f t="shared" ref="I3:I11" si="1">SUM(G3:H3)</f>
        <v>475.79</v>
      </c>
    </row>
    <row r="4" ht="15.75" customHeight="1">
      <c r="B4" s="3" t="s">
        <v>4</v>
      </c>
      <c r="C4" s="4">
        <v>153.01</v>
      </c>
      <c r="D4" s="5" t="s">
        <v>4</v>
      </c>
      <c r="F4" s="1" t="s">
        <v>5</v>
      </c>
      <c r="G4" s="1">
        <v>186.73</v>
      </c>
      <c r="H4" s="1">
        <v>34.07</v>
      </c>
      <c r="I4" s="2">
        <f t="shared" si="1"/>
        <v>220.8</v>
      </c>
    </row>
    <row r="5" ht="15.75" customHeight="1">
      <c r="B5" s="5" t="s">
        <v>6</v>
      </c>
      <c r="C5" s="4">
        <v>220.8</v>
      </c>
      <c r="D5" s="5" t="s">
        <v>4</v>
      </c>
      <c r="F5" s="1" t="s">
        <v>7</v>
      </c>
      <c r="G5" s="1">
        <v>37.84</v>
      </c>
      <c r="H5" s="1">
        <v>8.14</v>
      </c>
      <c r="I5" s="2">
        <f t="shared" si="1"/>
        <v>45.98</v>
      </c>
    </row>
    <row r="6" ht="15.75" customHeight="1">
      <c r="B6" s="5" t="s">
        <v>8</v>
      </c>
      <c r="C6" s="4">
        <v>48.22</v>
      </c>
      <c r="D6" s="5" t="s">
        <v>9</v>
      </c>
      <c r="F6" s="1" t="s">
        <v>4</v>
      </c>
      <c r="G6" s="1">
        <v>36.12</v>
      </c>
      <c r="H6" s="1">
        <v>116.89</v>
      </c>
      <c r="I6" s="2">
        <f t="shared" si="1"/>
        <v>153.01</v>
      </c>
    </row>
    <row r="7" ht="15.75" customHeight="1">
      <c r="B7" s="5" t="s">
        <v>3</v>
      </c>
      <c r="C7" s="6">
        <v>475.79</v>
      </c>
      <c r="D7" s="5" t="s">
        <v>10</v>
      </c>
      <c r="F7" s="1" t="s">
        <v>11</v>
      </c>
      <c r="G7" s="1">
        <v>2.76</v>
      </c>
      <c r="H7" s="1">
        <v>45.46</v>
      </c>
      <c r="I7" s="2">
        <f t="shared" si="1"/>
        <v>48.22</v>
      </c>
    </row>
    <row r="8" ht="15.75" customHeight="1">
      <c r="B8" s="5" t="s">
        <v>12</v>
      </c>
      <c r="C8" s="4">
        <v>10.2</v>
      </c>
      <c r="D8" s="5" t="s">
        <v>9</v>
      </c>
      <c r="F8" s="1" t="s">
        <v>12</v>
      </c>
      <c r="G8" s="1">
        <v>0.24</v>
      </c>
      <c r="H8" s="1">
        <v>9.96</v>
      </c>
      <c r="I8" s="2">
        <f t="shared" si="1"/>
        <v>10.2</v>
      </c>
    </row>
    <row r="9" ht="15.75" customHeight="1">
      <c r="B9" s="5" t="s">
        <v>13</v>
      </c>
      <c r="C9" s="4">
        <v>45.98</v>
      </c>
      <c r="D9" s="5" t="s">
        <v>4</v>
      </c>
      <c r="F9" s="1" t="s">
        <v>14</v>
      </c>
      <c r="G9" s="1">
        <v>0.1</v>
      </c>
      <c r="H9" s="7" t="s">
        <v>15</v>
      </c>
      <c r="I9" s="2">
        <f t="shared" si="1"/>
        <v>0.1</v>
      </c>
    </row>
    <row r="10" ht="15.75" customHeight="1">
      <c r="B10" s="5" t="s">
        <v>16</v>
      </c>
      <c r="C10" s="4">
        <v>0.1</v>
      </c>
      <c r="D10" s="5" t="s">
        <v>4</v>
      </c>
      <c r="F10" s="1" t="s">
        <v>17</v>
      </c>
      <c r="G10" s="1">
        <v>0.0</v>
      </c>
      <c r="H10" s="7" t="s">
        <v>15</v>
      </c>
      <c r="I10" s="2">
        <f t="shared" si="1"/>
        <v>0</v>
      </c>
    </row>
    <row r="11" ht="15.75" customHeight="1">
      <c r="B11" s="5" t="s">
        <v>18</v>
      </c>
      <c r="C11" s="4">
        <v>0.0</v>
      </c>
      <c r="D11" s="5" t="s">
        <v>10</v>
      </c>
      <c r="F11" s="1" t="s">
        <v>19</v>
      </c>
      <c r="G11" s="7" t="s">
        <v>15</v>
      </c>
      <c r="H11" s="1">
        <v>0.0</v>
      </c>
      <c r="I11" s="2">
        <f t="shared" si="1"/>
        <v>0</v>
      </c>
    </row>
    <row r="12" ht="15.75" customHeight="1">
      <c r="B12" s="5" t="s">
        <v>20</v>
      </c>
      <c r="C12" s="3">
        <v>0.0</v>
      </c>
      <c r="D12" s="5" t="s">
        <v>10</v>
      </c>
    </row>
    <row r="13" ht="15.75" customHeight="1">
      <c r="B13" s="5" t="s">
        <v>21</v>
      </c>
      <c r="C13" s="3">
        <v>0.0</v>
      </c>
      <c r="D13" s="5" t="s">
        <v>22</v>
      </c>
    </row>
    <row r="14" ht="15.75" customHeight="1"/>
    <row r="15" ht="15.75" customHeight="1"/>
    <row r="16" ht="15.75" customHeight="1">
      <c r="B16" s="8" t="s">
        <v>10</v>
      </c>
      <c r="C16" s="9">
        <f>C7+C11+C12</f>
        <v>475.79</v>
      </c>
    </row>
    <row r="17" ht="15.75" customHeight="1">
      <c r="B17" s="8" t="s">
        <v>4</v>
      </c>
      <c r="C17" s="10">
        <f>C4+C5+C9+C10</f>
        <v>419.89</v>
      </c>
      <c r="D17" s="11">
        <f>C17*1000</f>
        <v>419890</v>
      </c>
      <c r="E17" s="5" t="s">
        <v>23</v>
      </c>
    </row>
    <row r="18" ht="15.75" customHeight="1">
      <c r="B18" s="8" t="s">
        <v>9</v>
      </c>
      <c r="C18" s="11">
        <f>C6+C8</f>
        <v>58.42</v>
      </c>
    </row>
    <row r="19" ht="15.75" customHeight="1">
      <c r="B19" s="8" t="s">
        <v>22</v>
      </c>
      <c r="C19" s="12">
        <f>C13</f>
        <v>0</v>
      </c>
    </row>
    <row r="20" ht="15.75" customHeight="1">
      <c r="K20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5.88"/>
  </cols>
  <sheetData>
    <row r="1" ht="22.5" customHeight="1">
      <c r="A1" s="13" t="s">
        <v>24</v>
      </c>
      <c r="B1" s="13" t="s">
        <v>25</v>
      </c>
      <c r="C1" s="13" t="s">
        <v>26</v>
      </c>
    </row>
    <row r="2" ht="22.5" customHeight="1">
      <c r="A2" s="14" t="s">
        <v>27</v>
      </c>
      <c r="B2" s="15">
        <v>43921.033746979</v>
      </c>
      <c r="C2" s="16" t="str">
        <f t="shared" ref="C2:C15" si="1">B2/SUM('Area-chart-query'!$B$2:$B$15)</f>
        <v>#REF!</v>
      </c>
    </row>
    <row r="3" ht="22.5" customHeight="1">
      <c r="A3" s="14" t="s">
        <v>28</v>
      </c>
      <c r="B3" s="15">
        <v>18014.0719410419</v>
      </c>
      <c r="C3" s="16" t="str">
        <f t="shared" si="1"/>
        <v>#REF!</v>
      </c>
    </row>
    <row r="4" ht="22.5" customHeight="1">
      <c r="A4" s="14" t="s">
        <v>29</v>
      </c>
      <c r="B4" s="15">
        <v>8888.18115864599</v>
      </c>
      <c r="C4" s="16" t="str">
        <f t="shared" si="1"/>
        <v>#REF!</v>
      </c>
    </row>
    <row r="5" ht="22.5" customHeight="1">
      <c r="A5" s="14" t="s">
        <v>30</v>
      </c>
      <c r="B5" s="15">
        <v>7444.710208764</v>
      </c>
      <c r="C5" s="16" t="str">
        <f t="shared" si="1"/>
        <v>#REF!</v>
      </c>
    </row>
    <row r="6" ht="22.5" customHeight="1">
      <c r="A6" s="14" t="s">
        <v>31</v>
      </c>
      <c r="B6" s="15">
        <v>3450.622634822</v>
      </c>
      <c r="C6" s="16" t="str">
        <f t="shared" si="1"/>
        <v>#REF!</v>
      </c>
    </row>
    <row r="7" ht="22.5" customHeight="1">
      <c r="A7" s="14" t="s">
        <v>32</v>
      </c>
      <c r="B7" s="15">
        <v>2262.587374351</v>
      </c>
      <c r="C7" s="16" t="str">
        <f t="shared" si="1"/>
        <v>#REF!</v>
      </c>
    </row>
    <row r="8" ht="22.5" customHeight="1">
      <c r="A8" s="14" t="s">
        <v>33</v>
      </c>
      <c r="B8" s="15">
        <v>1372.66072911699</v>
      </c>
      <c r="C8" s="16" t="str">
        <f t="shared" si="1"/>
        <v>#REF!</v>
      </c>
    </row>
    <row r="9" ht="22.5" customHeight="1">
      <c r="A9" s="14" t="s">
        <v>34</v>
      </c>
      <c r="B9" s="15">
        <v>1190.03149920699</v>
      </c>
      <c r="C9" s="16" t="str">
        <f t="shared" si="1"/>
        <v>#REF!</v>
      </c>
    </row>
    <row r="10" ht="22.5" customHeight="1">
      <c r="A10" s="14" t="s">
        <v>35</v>
      </c>
      <c r="B10" s="15">
        <v>362.068874006</v>
      </c>
      <c r="C10" s="16" t="str">
        <f t="shared" si="1"/>
        <v>#REF!</v>
      </c>
    </row>
    <row r="11" ht="22.5" customHeight="1">
      <c r="A11" s="14" t="s">
        <v>36</v>
      </c>
      <c r="B11" s="15">
        <v>61.4057695549999</v>
      </c>
      <c r="C11" s="16" t="str">
        <f t="shared" si="1"/>
        <v>#REF!</v>
      </c>
    </row>
    <row r="12" ht="22.5" customHeight="1">
      <c r="A12" s="14" t="s">
        <v>37</v>
      </c>
      <c r="B12" s="15">
        <v>39.048805694</v>
      </c>
      <c r="C12" s="16" t="str">
        <f t="shared" si="1"/>
        <v>#REF!</v>
      </c>
    </row>
    <row r="13" ht="22.5" customHeight="1">
      <c r="A13" s="14" t="s">
        <v>38</v>
      </c>
      <c r="B13" s="15">
        <v>11.4759830819999</v>
      </c>
      <c r="C13" s="16" t="str">
        <f t="shared" si="1"/>
        <v>#REF!</v>
      </c>
    </row>
    <row r="14" ht="22.5" customHeight="1">
      <c r="A14" s="14" t="s">
        <v>39</v>
      </c>
      <c r="B14" s="15">
        <v>0.172869999999999</v>
      </c>
      <c r="C14" s="16" t="str">
        <f t="shared" si="1"/>
        <v>#REF!</v>
      </c>
    </row>
    <row r="15" ht="22.5" customHeight="1">
      <c r="A15" s="14" t="s">
        <v>40</v>
      </c>
      <c r="B15" s="15">
        <v>0.019492541</v>
      </c>
      <c r="C15" s="16" t="str">
        <f t="shared" si="1"/>
        <v>#REF!</v>
      </c>
    </row>
    <row r="16" ht="22.5" customHeight="1">
      <c r="A16" s="14"/>
      <c r="B16" s="17" t="str">
        <f>SUM('Area-chart-query'!$B$2:$B$15)</f>
        <v>#REF!</v>
      </c>
      <c r="C16" s="16" t="str">
        <f>SUM('Area-chart-query'!$C$2:$C$15)</f>
        <v>#REF!</v>
      </c>
    </row>
    <row r="18">
      <c r="D18" s="1" t="s">
        <v>41</v>
      </c>
    </row>
    <row r="19">
      <c r="D19" s="1" t="s">
        <v>42</v>
      </c>
    </row>
    <row r="20">
      <c r="D20" s="1" t="s">
        <v>43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