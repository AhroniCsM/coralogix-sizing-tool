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<sst xmlns="http://schemas.openxmlformats.org/spreadsheetml/2006/main" count="46" uniqueCount="35">
  <si>
    <t>Metrics</t>
  </si>
  <si>
    <t>Infrastructure Integrations</t>
  </si>
  <si>
    <t>APM events</t>
  </si>
  <si>
    <t>Traces</t>
  </si>
  <si>
    <t>Logging</t>
  </si>
  <si>
    <t>Logs</t>
  </si>
  <si>
    <t>Tracing</t>
  </si>
  <si>
    <t>Infrastructure Hosts</t>
  </si>
  <si>
    <t>Infrastrucure Processes</t>
  </si>
  <si>
    <t>Custom events</t>
  </si>
  <si>
    <t>Serverless</t>
  </si>
  <si>
    <t>Browser events</t>
  </si>
  <si>
    <t>RUM</t>
  </si>
  <si>
    <t>&lt;- numseries</t>
  </si>
  <si>
    <t>&lt;- sessions</t>
  </si>
  <si>
    <t>Usage Metric</t>
  </si>
  <si>
    <t>Avg. Gb Ingest</t>
  </si>
  <si>
    <t>% Percentage</t>
  </si>
  <si>
    <t>LoggingBytes</t>
  </si>
  <si>
    <t>TracingBytes</t>
  </si>
  <si>
    <t>MetricsBytes</t>
  </si>
  <si>
    <t>InfraIntegrationBytes</t>
  </si>
  <si>
    <t>ApmEventsBytes</t>
  </si>
  <si>
    <t>CustomEventsBytes</t>
  </si>
  <si>
    <t>PixieBytes</t>
  </si>
  <si>
    <t>InfraHostBytes</t>
  </si>
  <si>
    <t>ServerlessBytes</t>
  </si>
  <si>
    <t>InfraProcessBytes</t>
  </si>
  <si>
    <t>BrowserEventsBytes</t>
  </si>
  <si>
    <t>NetworkMonitoringBytes</t>
  </si>
  <si>
    <t>ServiceLevelsManagementBytes</t>
  </si>
  <si>
    <t>WorkloadsBytes</t>
  </si>
  <si>
    <t xml:space="preserve">36 full users at 305 per user </t>
  </si>
  <si>
    <t>.36 GB for the first 45000</t>
  </si>
  <si>
    <t>.45 per GB after 45001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</si>
</sst>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rgb="FF001D35"/>
      <name val="&quot;Google Sans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3" numFmtId="0" xfId="0" applyAlignment="1" applyFill="1" applyFont="1">
      <alignment readingOrder="0"/>
    </xf>
    <xf borderId="0" fillId="3" fontId="2" numFmtId="0" xfId="0" applyFill="1" applyFont="1"/>
    <xf borderId="0" fillId="4" fontId="2" numFmtId="0" xfId="0" applyFill="1" applyFont="1"/>
    <xf borderId="0" fillId="0" fontId="2" numFmtId="3" xfId="0" applyFont="1" applyNumberFormat="1"/>
    <xf borderId="0" fillId="4" fontId="2" numFmtId="3" xfId="0" applyAlignment="1" applyFont="1" applyNumberFormat="1">
      <alignment readingOrder="0"/>
    </xf>
    <xf borderId="0" fillId="4" fontId="2" numFmtId="3" xfId="0" applyFont="1" applyNumberFormat="1"/>
    <xf borderId="0" fillId="4" fontId="2" numFmtId="0" xfId="0" applyFont="1"/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4" xfId="0" applyAlignment="1" applyFont="1" applyNumberFormat="1">
      <alignment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5" pivot="0" name="Sheet2-style">
      <tableStyleElement dxfId="1" type="headerRow"/>
      <tableStyleElement dxfId="2" type="firstRowStripe"/>
      <tableStyleElement dxfId="3" type="secondRowStripe"/>
      <tableStyleElement dxfId="4" type="totalRow"/>
      <tableStyleElement dxfId="5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0</xdr:row>
      <xdr:rowOff>190500</xdr:rowOff>
    </xdr:from>
    <xdr:ext cx="14192250" cy="52673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C16" displayName="Table1" name="Table1" id="1">
  <tableColumns count="3">
    <tableColumn name="Usage Metric" id="1"/>
    <tableColumn totalsRowFunction="custom" name="Avg. Gb Ingest" id="2"/>
    <tableColumn totalsRowFunction="custom" name="% Percentage" id="3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0.0"/>
    <col customWidth="1" min="3" max="3" width="14.63"/>
    <col customWidth="1" min="4" max="6" width="12.63"/>
  </cols>
  <sheetData>
    <row r="1" ht="15.75" customHeight="1">
      <c r="A1" s="1">
        <v>200.22</v>
      </c>
    </row>
    <row r="2" ht="15.75" customHeight="1"/>
    <row r="3" ht="15.75" customHeight="1"/>
    <row r="4" ht="15.75" customHeight="1">
      <c r="B4" s="2" t="s">
        <v>0</v>
      </c>
      <c r="C4" s="3">
        <v>205.0</v>
      </c>
      <c r="D4" s="4" t="s">
        <v>0</v>
      </c>
    </row>
    <row r="5" ht="15.75" customHeight="1">
      <c r="B5" s="4" t="s">
        <v>1</v>
      </c>
      <c r="C5" s="3">
        <v>441.0</v>
      </c>
      <c r="D5" s="4" t="s">
        <v>0</v>
      </c>
    </row>
    <row r="6" ht="15.75" customHeight="1">
      <c r="B6" s="4" t="s">
        <v>2</v>
      </c>
      <c r="C6" s="1">
        <v>11.5</v>
      </c>
      <c r="D6" s="4" t="s">
        <v>3</v>
      </c>
    </row>
    <row r="7" ht="15.75" customHeight="1">
      <c r="B7" s="4" t="s">
        <v>4</v>
      </c>
      <c r="C7" s="5">
        <v>6.5</v>
      </c>
      <c r="D7" s="4" t="s">
        <v>5</v>
      </c>
    </row>
    <row r="8" ht="15.75" customHeight="1">
      <c r="B8" s="4" t="s">
        <v>6</v>
      </c>
      <c r="C8" s="3">
        <v>138.0</v>
      </c>
      <c r="D8" s="4" t="s">
        <v>3</v>
      </c>
    </row>
    <row r="9" ht="15.75" customHeight="1">
      <c r="B9" s="4" t="s">
        <v>7</v>
      </c>
      <c r="C9" s="3">
        <v>190.0</v>
      </c>
      <c r="D9" s="4" t="s">
        <v>0</v>
      </c>
    </row>
    <row r="10" ht="15.75" customHeight="1">
      <c r="B10" s="4" t="s">
        <v>8</v>
      </c>
      <c r="C10" s="3">
        <v>18.0</v>
      </c>
      <c r="D10" s="4" t="s">
        <v>0</v>
      </c>
    </row>
    <row r="11" ht="15.75" customHeight="1">
      <c r="B11" s="4" t="s">
        <v>9</v>
      </c>
      <c r="C11" s="3">
        <v>0.0</v>
      </c>
      <c r="D11" s="4" t="s">
        <v>5</v>
      </c>
    </row>
    <row r="12" ht="15.75" customHeight="1">
      <c r="B12" s="4" t="s">
        <v>10</v>
      </c>
      <c r="C12" s="2">
        <v>0.0</v>
      </c>
      <c r="D12" s="4" t="s">
        <v>5</v>
      </c>
    </row>
    <row r="13" ht="15.75" customHeight="1">
      <c r="B13" s="4" t="s">
        <v>11</v>
      </c>
      <c r="C13" s="2">
        <v>5.25</v>
      </c>
      <c r="D13" s="4" t="s">
        <v>12</v>
      </c>
    </row>
    <row r="14" ht="15.75" customHeight="1"/>
    <row r="15" ht="15.75" customHeight="1"/>
    <row r="16" ht="15.75" customHeight="1">
      <c r="B16" s="6" t="s">
        <v>5</v>
      </c>
      <c r="C16" s="7">
        <f>C7+C11+C12</f>
        <v>6.5</v>
      </c>
    </row>
    <row r="17" ht="15.75" customHeight="1">
      <c r="B17" s="6" t="s">
        <v>0</v>
      </c>
      <c r="C17" s="8">
        <f>C4+C5+C9+C10</f>
        <v>854</v>
      </c>
      <c r="D17" s="9">
        <f>C17*1000</f>
        <v>854000</v>
      </c>
      <c r="E17" s="4" t="s">
        <v>13</v>
      </c>
    </row>
    <row r="18" ht="15.75" customHeight="1">
      <c r="B18" s="6" t="s">
        <v>3</v>
      </c>
      <c r="C18" s="10">
        <f>C6+C8</f>
        <v>149.5</v>
      </c>
    </row>
    <row r="19" ht="15.75" customHeight="1">
      <c r="B19" s="6" t="s">
        <v>12</v>
      </c>
      <c r="C19" s="11">
        <f>C13</f>
        <v>5.25</v>
      </c>
      <c r="D19" s="12">
        <f>(C19*1000*1000)/800</f>
        <v>6562.5</v>
      </c>
      <c r="E19" s="1" t="s">
        <v>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>
      <c r="D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3" width="15.88"/>
  </cols>
  <sheetData>
    <row r="1" ht="22.5" customHeight="1">
      <c r="A1" s="14" t="s">
        <v>15</v>
      </c>
      <c r="B1" s="14" t="s">
        <v>16</v>
      </c>
      <c r="C1" s="14" t="s">
        <v>17</v>
      </c>
    </row>
    <row r="2" ht="22.5" customHeight="1">
      <c r="A2" s="15" t="s">
        <v>18</v>
      </c>
      <c r="B2" s="16">
        <v>43921.033746979</v>
      </c>
      <c r="C2" s="17" t="str">
        <f t="shared" ref="C2:C15" si="1">B2/SUM('Area-chart-query'!$B$2:$B$15)</f>
        <v>#REF!</v>
      </c>
    </row>
    <row r="3" ht="22.5" customHeight="1">
      <c r="A3" s="15" t="s">
        <v>19</v>
      </c>
      <c r="B3" s="16">
        <v>18014.0719410419</v>
      </c>
      <c r="C3" s="17" t="str">
        <f t="shared" si="1"/>
        <v>#REF!</v>
      </c>
    </row>
    <row r="4" ht="22.5" customHeight="1">
      <c r="A4" s="15" t="s">
        <v>20</v>
      </c>
      <c r="B4" s="16">
        <v>8888.18115864599</v>
      </c>
      <c r="C4" s="17" t="str">
        <f t="shared" si="1"/>
        <v>#REF!</v>
      </c>
    </row>
    <row r="5" ht="22.5" customHeight="1">
      <c r="A5" s="15" t="s">
        <v>21</v>
      </c>
      <c r="B5" s="16">
        <v>7444.710208764</v>
      </c>
      <c r="C5" s="17" t="str">
        <f t="shared" si="1"/>
        <v>#REF!</v>
      </c>
    </row>
    <row r="6" ht="22.5" customHeight="1">
      <c r="A6" s="15" t="s">
        <v>22</v>
      </c>
      <c r="B6" s="16">
        <v>3450.622634822</v>
      </c>
      <c r="C6" s="17" t="str">
        <f t="shared" si="1"/>
        <v>#REF!</v>
      </c>
    </row>
    <row r="7" ht="22.5" customHeight="1">
      <c r="A7" s="15" t="s">
        <v>23</v>
      </c>
      <c r="B7" s="16">
        <v>2262.587374351</v>
      </c>
      <c r="C7" s="17" t="str">
        <f t="shared" si="1"/>
        <v>#REF!</v>
      </c>
    </row>
    <row r="8" ht="22.5" customHeight="1">
      <c r="A8" s="15" t="s">
        <v>24</v>
      </c>
      <c r="B8" s="16">
        <v>1372.66072911699</v>
      </c>
      <c r="C8" s="17" t="str">
        <f t="shared" si="1"/>
        <v>#REF!</v>
      </c>
    </row>
    <row r="9" ht="22.5" customHeight="1">
      <c r="A9" s="15" t="s">
        <v>25</v>
      </c>
      <c r="B9" s="16">
        <v>1190.03149920699</v>
      </c>
      <c r="C9" s="17" t="str">
        <f t="shared" si="1"/>
        <v>#REF!</v>
      </c>
    </row>
    <row r="10" ht="22.5" customHeight="1">
      <c r="A10" s="15" t="s">
        <v>26</v>
      </c>
      <c r="B10" s="16">
        <v>362.068874006</v>
      </c>
      <c r="C10" s="17" t="str">
        <f t="shared" si="1"/>
        <v>#REF!</v>
      </c>
    </row>
    <row r="11" ht="22.5" customHeight="1">
      <c r="A11" s="15" t="s">
        <v>27</v>
      </c>
      <c r="B11" s="16">
        <v>61.4057695549999</v>
      </c>
      <c r="C11" s="17" t="str">
        <f t="shared" si="1"/>
        <v>#REF!</v>
      </c>
    </row>
    <row r="12" ht="22.5" customHeight="1">
      <c r="A12" s="15" t="s">
        <v>28</v>
      </c>
      <c r="B12" s="16">
        <v>39.048805694</v>
      </c>
      <c r="C12" s="17" t="str">
        <f t="shared" si="1"/>
        <v>#REF!</v>
      </c>
    </row>
    <row r="13" ht="22.5" customHeight="1">
      <c r="A13" s="15" t="s">
        <v>29</v>
      </c>
      <c r="B13" s="16">
        <v>11.4759830819999</v>
      </c>
      <c r="C13" s="17" t="str">
        <f t="shared" si="1"/>
        <v>#REF!</v>
      </c>
    </row>
    <row r="14" ht="22.5" customHeight="1">
      <c r="A14" s="15" t="s">
        <v>30</v>
      </c>
      <c r="B14" s="16">
        <v>0.172869999999999</v>
      </c>
      <c r="C14" s="17" t="str">
        <f t="shared" si="1"/>
        <v>#REF!</v>
      </c>
    </row>
    <row r="15" ht="22.5" customHeight="1">
      <c r="A15" s="15" t="s">
        <v>31</v>
      </c>
      <c r="B15" s="16">
        <v>0.019492541</v>
      </c>
      <c r="C15" s="17" t="str">
        <f t="shared" si="1"/>
        <v>#REF!</v>
      </c>
    </row>
    <row r="16" ht="22.5" customHeight="1">
      <c r="A16" s="15"/>
      <c r="B16" s="18" t="str">
        <f>SUM('Area-chart-query'!$B$2:$B$15)</f>
        <v>#REF!</v>
      </c>
      <c r="C16" s="17" t="str">
        <f>SUM('Area-chart-query'!$C$2:$C$15)</f>
        <v>#REF!</v>
      </c>
    </row>
    <row r="18">
      <c r="D18" s="1" t="s">
        <v>32</v>
      </c>
    </row>
    <row r="19">
      <c r="D19" s="1" t="s">
        <v>33</v>
      </c>
    </row>
    <row r="20">
      <c r="D20" s="1" t="s">
        <v>34</v>
      </c>
    </row>
  </sheetData>
  <dataValidations>
    <dataValidation type="custom" allowBlank="1" showDropDown="1" sqref="B2:C15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