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<sst xmlns="http://schemas.openxmlformats.org/spreadsheetml/2006/main" count="45" uniqueCount="34">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</sst>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1D35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2" numFmtId="3" xfId="0" applyFont="1" applyNumberFormat="1"/>
    <xf borderId="0" fillId="4" fontId="2" numFmtId="3" xfId="0" applyFont="1" applyNumberFormat="1"/>
    <xf borderId="0" fillId="4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10</xdr:row>
      <xdr:rowOff>152400</xdr:rowOff>
    </xdr:from>
    <xdr:ext cx="11077575" cy="5429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39</xdr:row>
      <xdr:rowOff>152400</xdr:rowOff>
    </xdr:from>
    <xdr:ext cx="13515975" cy="4410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3" width="24.0"/>
    <col customWidth="1" min="4" max="6" width="12.63"/>
  </cols>
  <sheetData>
    <row r="1" ht="15.75" customHeight="1">
      <c r="A1" s="1">
        <v>200.22</v>
      </c>
    </row>
    <row r="2" ht="15.75" customHeight="1"/>
    <row r="3" ht="15.75" customHeight="1"/>
    <row r="4" ht="15.75" customHeight="1">
      <c r="B4" s="2" t="s">
        <v>0</v>
      </c>
      <c r="C4" s="3">
        <v>40.0</v>
      </c>
      <c r="D4" s="4" t="s">
        <v>0</v>
      </c>
    </row>
    <row r="5" ht="15.75" customHeight="1">
      <c r="B5" s="4" t="s">
        <v>1</v>
      </c>
      <c r="C5" s="3">
        <v>87.0</v>
      </c>
      <c r="D5" s="4" t="s">
        <v>0</v>
      </c>
    </row>
    <row r="6" ht="15.75" customHeight="1">
      <c r="B6" s="4" t="s">
        <v>2</v>
      </c>
      <c r="C6" s="3">
        <v>53.0</v>
      </c>
      <c r="D6" s="4" t="s">
        <v>3</v>
      </c>
    </row>
    <row r="7" ht="15.75" customHeight="1">
      <c r="B7" s="4" t="s">
        <v>4</v>
      </c>
      <c r="C7" s="5">
        <v>214.0</v>
      </c>
      <c r="D7" s="4" t="s">
        <v>5</v>
      </c>
    </row>
    <row r="8" ht="15.75" customHeight="1">
      <c r="B8" s="4" t="s">
        <v>6</v>
      </c>
      <c r="C8" s="3">
        <v>38.0</v>
      </c>
      <c r="D8" s="4" t="s">
        <v>3</v>
      </c>
    </row>
    <row r="9" ht="15.75" customHeight="1">
      <c r="B9" s="4" t="s">
        <v>7</v>
      </c>
      <c r="C9" s="3">
        <v>1.0</v>
      </c>
      <c r="D9" s="4" t="s">
        <v>0</v>
      </c>
    </row>
    <row r="10" ht="15.75" customHeight="1">
      <c r="B10" s="4" t="s">
        <v>8</v>
      </c>
      <c r="C10" s="3">
        <v>2.0</v>
      </c>
      <c r="D10" s="4" t="s">
        <v>0</v>
      </c>
    </row>
    <row r="11" ht="15.75" customHeight="1">
      <c r="B11" s="4" t="s">
        <v>9</v>
      </c>
      <c r="C11" s="3">
        <v>1.0</v>
      </c>
      <c r="D11" s="4" t="s">
        <v>5</v>
      </c>
    </row>
    <row r="12" ht="15.75" customHeight="1">
      <c r="B12" s="4" t="s">
        <v>10</v>
      </c>
      <c r="C12" s="2">
        <v>0.0</v>
      </c>
      <c r="D12" s="4" t="s">
        <v>5</v>
      </c>
    </row>
    <row r="13" ht="15.75" customHeight="1">
      <c r="B13" s="4" t="s">
        <v>11</v>
      </c>
      <c r="C13" s="2">
        <v>0.0</v>
      </c>
      <c r="D13" s="4" t="s">
        <v>12</v>
      </c>
    </row>
    <row r="14" ht="15.75" customHeight="1"/>
    <row r="15" ht="15.75" customHeight="1"/>
    <row r="16" ht="15.75" customHeight="1">
      <c r="B16" s="6" t="s">
        <v>5</v>
      </c>
      <c r="C16" s="7">
        <f>C7+C11+C12</f>
        <v>215</v>
      </c>
    </row>
    <row r="17" ht="15.75" customHeight="1">
      <c r="B17" s="6" t="s">
        <v>0</v>
      </c>
      <c r="C17" s="8">
        <f>C4+C5+C9+C10</f>
        <v>130</v>
      </c>
      <c r="D17" s="9">
        <f>C17*1000</f>
        <v>130000</v>
      </c>
      <c r="E17" s="4" t="s">
        <v>13</v>
      </c>
    </row>
    <row r="18" ht="15.75" customHeight="1">
      <c r="B18" s="6" t="s">
        <v>3</v>
      </c>
      <c r="C18" s="9">
        <f>C6+C8</f>
        <v>91</v>
      </c>
    </row>
    <row r="19" ht="15.75" customHeight="1">
      <c r="B19" s="6" t="s">
        <v>12</v>
      </c>
      <c r="C19" s="10">
        <f>C13</f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22.5" customHeight="1">
      <c r="A1" s="11" t="s">
        <v>14</v>
      </c>
      <c r="B1" s="11" t="s">
        <v>15</v>
      </c>
      <c r="C1" s="11" t="s">
        <v>16</v>
      </c>
    </row>
    <row r="2" ht="22.5" customHeight="1">
      <c r="A2" s="12" t="s">
        <v>17</v>
      </c>
      <c r="B2" s="13">
        <v>43921.033746979</v>
      </c>
      <c r="C2" s="14" t="str">
        <f t="shared" ref="C2:C15" si="1">B2/SUM('Area-chart-query'!$B$2:$B$15)</f>
        <v>#REF!</v>
      </c>
    </row>
    <row r="3" ht="22.5" customHeight="1">
      <c r="A3" s="12" t="s">
        <v>18</v>
      </c>
      <c r="B3" s="13">
        <v>18014.0719410419</v>
      </c>
      <c r="C3" s="14" t="str">
        <f t="shared" si="1"/>
        <v>#REF!</v>
      </c>
    </row>
    <row r="4" ht="22.5" customHeight="1">
      <c r="A4" s="12" t="s">
        <v>19</v>
      </c>
      <c r="B4" s="13">
        <v>8888.18115864599</v>
      </c>
      <c r="C4" s="14" t="str">
        <f t="shared" si="1"/>
        <v>#REF!</v>
      </c>
    </row>
    <row r="5" ht="22.5" customHeight="1">
      <c r="A5" s="12" t="s">
        <v>20</v>
      </c>
      <c r="B5" s="13">
        <v>7444.710208764</v>
      </c>
      <c r="C5" s="14" t="str">
        <f t="shared" si="1"/>
        <v>#REF!</v>
      </c>
    </row>
    <row r="6" ht="22.5" customHeight="1">
      <c r="A6" s="12" t="s">
        <v>21</v>
      </c>
      <c r="B6" s="13">
        <v>3450.622634822</v>
      </c>
      <c r="C6" s="14" t="str">
        <f t="shared" si="1"/>
        <v>#REF!</v>
      </c>
    </row>
    <row r="7" ht="22.5" customHeight="1">
      <c r="A7" s="12" t="s">
        <v>22</v>
      </c>
      <c r="B7" s="13">
        <v>2262.587374351</v>
      </c>
      <c r="C7" s="14" t="str">
        <f t="shared" si="1"/>
        <v>#REF!</v>
      </c>
    </row>
    <row r="8" ht="22.5" customHeight="1">
      <c r="A8" s="12" t="s">
        <v>23</v>
      </c>
      <c r="B8" s="13">
        <v>1372.66072911699</v>
      </c>
      <c r="C8" s="14" t="str">
        <f t="shared" si="1"/>
        <v>#REF!</v>
      </c>
    </row>
    <row r="9" ht="22.5" customHeight="1">
      <c r="A9" s="12" t="s">
        <v>24</v>
      </c>
      <c r="B9" s="13">
        <v>1190.03149920699</v>
      </c>
      <c r="C9" s="14" t="str">
        <f t="shared" si="1"/>
        <v>#REF!</v>
      </c>
    </row>
    <row r="10" ht="22.5" customHeight="1">
      <c r="A10" s="12" t="s">
        <v>25</v>
      </c>
      <c r="B10" s="13">
        <v>362.068874006</v>
      </c>
      <c r="C10" s="14" t="str">
        <f t="shared" si="1"/>
        <v>#REF!</v>
      </c>
    </row>
    <row r="11" ht="22.5" customHeight="1">
      <c r="A11" s="12" t="s">
        <v>26</v>
      </c>
      <c r="B11" s="13">
        <v>61.4057695549999</v>
      </c>
      <c r="C11" s="14" t="str">
        <f t="shared" si="1"/>
        <v>#REF!</v>
      </c>
    </row>
    <row r="12" ht="22.5" customHeight="1">
      <c r="A12" s="12" t="s">
        <v>27</v>
      </c>
      <c r="B12" s="13">
        <v>39.048805694</v>
      </c>
      <c r="C12" s="14" t="str">
        <f t="shared" si="1"/>
        <v>#REF!</v>
      </c>
    </row>
    <row r="13" ht="22.5" customHeight="1">
      <c r="A13" s="12" t="s">
        <v>28</v>
      </c>
      <c r="B13" s="13">
        <v>11.4759830819999</v>
      </c>
      <c r="C13" s="14" t="str">
        <f t="shared" si="1"/>
        <v>#REF!</v>
      </c>
    </row>
    <row r="14" ht="22.5" customHeight="1">
      <c r="A14" s="12" t="s">
        <v>29</v>
      </c>
      <c r="B14" s="13">
        <v>0.172869999999999</v>
      </c>
      <c r="C14" s="14" t="str">
        <f t="shared" si="1"/>
        <v>#REF!</v>
      </c>
    </row>
    <row r="15" ht="22.5" customHeight="1">
      <c r="A15" s="12" t="s">
        <v>30</v>
      </c>
      <c r="B15" s="13">
        <v>0.019492541</v>
      </c>
      <c r="C15" s="14" t="str">
        <f t="shared" si="1"/>
        <v>#REF!</v>
      </c>
    </row>
    <row r="16" ht="22.5" customHeight="1">
      <c r="A16" s="12"/>
      <c r="B16" s="15" t="str">
        <f>SUM('Area-chart-query'!$B$2:$B$15)</f>
        <v>#REF!</v>
      </c>
      <c r="C16" s="14" t="str">
        <f>SUM('Area-chart-query'!$C$2:$C$15)</f>
        <v>#REF!</v>
      </c>
    </row>
    <row r="18">
      <c r="D18" s="1" t="s">
        <v>31</v>
      </c>
    </row>
    <row r="19">
      <c r="D19" s="1" t="s">
        <v>32</v>
      </c>
    </row>
    <row r="20">
      <c r="D20" s="1" t="s">
        <v>33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