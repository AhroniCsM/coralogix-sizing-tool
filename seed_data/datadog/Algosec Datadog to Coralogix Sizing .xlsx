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  <sheet state="visible" name="Copy of Convert DD Usage to Cor" sheetId="2" r:id="rId6"/>
    <sheet state="visible" name="Copy of Copy of Convert DD Usag" sheetId="3" r:id="rId7"/>
  </sheets>
  <definedNames/>
  <calcPr/>
</workbook>
</file>

<file path=xl/sharedStrings.xml><?xml version="1.0" encoding="utf-8"?>
<sst xmlns="http://schemas.openxmlformats.org/spreadsheetml/2006/main" count="330" uniqueCount="88">
  <si>
    <t>DD Usage</t>
  </si>
  <si>
    <t>Infra Hosts</t>
  </si>
  <si>
    <t>Custom Metrics</t>
  </si>
  <si>
    <t>Indexed Logs - Live &amp; Rehydrated (Million)</t>
  </si>
  <si>
    <t>Indexed Logs - 15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</si>
  <si>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</si>
  <si>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</si>
  <si>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</si>
  <si>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</si>
  <si>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</si>
  <si>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- 90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</si>
  <si>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</si>
  <si>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</si>
  <si>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</si>
  <si>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</si>
  <si>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</si>
  <si>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</si>
  <si>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</si>
  <si>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</si>
  <si>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</si>
  <si>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</si>
  <si>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</si>
  <si>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</si>
  <si>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</si>
  <si>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</si>
  <si>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</si>
  <si>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</si>
  <si>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</si>
  <si>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</si>
  <si>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</si>
  <si>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</si>
  <si>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</si>
  <si>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</si>
  <si>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</si>
  <si>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</si>
  <si>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</si>
  <si>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</si>
  <si>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</si>
  <si>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</si>
  <si>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</si>
  <si>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</si>
  <si>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</si>
  <si>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</si>
  <si>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</si>
  <si>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</si>
  <si>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</si>
  <si>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</si>
  <si>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</si>
  <si>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</si>
  <si>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</si>
  <si>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</si>
  <si>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</si>
  <si>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</si>
  <si>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</si>
  <si>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</si>
  <si>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</si>
  <si>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</si>
  <si>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</si>
  <si>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</si>
  <si>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</si>
  <si>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</si>
  <si>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</si>
  <si>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</si>
  <si>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</si>
  <si>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</si>
  <si>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</si>
  <si>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</si>
  <si>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First account: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</si>
  <si>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</si>
  <si>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</si>
  <si>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</si>
  <si>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</si>
  <si>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</si>
  <si>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</si>
  <si>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</si>
  <si>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</si>
  <si>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</si>
  <si>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</si>
  <si>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</si>
  <si>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</si>
  <si>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</si>
  <si>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</si>
  <si>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</si>
  <si>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</si>
  <si>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Second account</t>
  </si>
  <si>
    <t>Apply this information to the TCO Calculator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</si>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</sst>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0" fontId="3" numFmtId="1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readingOrder="0" vertical="bottom"/>
    </xf>
    <xf borderId="6" fillId="0" fontId="3" numFmtId="1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8" fillId="0" fontId="3" numFmtId="1" xfId="0" applyAlignment="1" applyBorder="1" applyFont="1" applyNumberFormat="1">
      <alignment vertical="bottom"/>
    </xf>
    <xf borderId="15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3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8" fillId="5" fontId="1" numFmtId="1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14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16" fillId="0" fontId="4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3" fillId="0" fontId="1" numFmtId="3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3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15" fillId="0" fontId="3" numFmtId="1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8.png"/><Relationship Id="rId5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12392025" cy="296227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12287250" cy="272415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28</xdr:row>
      <xdr:rowOff>66675</xdr:rowOff>
    </xdr:from>
    <xdr:ext cx="16544925" cy="28384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2105025</xdr:colOff>
      <xdr:row>45</xdr:row>
      <xdr:rowOff>57150</xdr:rowOff>
    </xdr:from>
    <xdr:ext cx="16821150" cy="2924175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2085975</xdr:colOff>
      <xdr:row>61</xdr:row>
      <xdr:rowOff>123825</xdr:rowOff>
    </xdr:from>
    <xdr:ext cx="16459200" cy="3600450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2085975</xdr:colOff>
      <xdr:row>61</xdr:row>
      <xdr:rowOff>123825</xdr:rowOff>
    </xdr:from>
    <xdr:ext cx="16459200" cy="3600450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628650</xdr:colOff>
      <xdr:row>26</xdr:row>
      <xdr:rowOff>95250</xdr:rowOff>
    </xdr:from>
    <xdr:ext cx="6981825" cy="3505200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9">
        <v>327.0</v>
      </c>
      <c r="B4" s="10">
        <v>952.0</v>
      </c>
      <c r="C4" s="11">
        <v>0.0</v>
      </c>
      <c r="D4" s="11"/>
      <c r="E4" s="11"/>
      <c r="F4" s="11">
        <f>12+5</f>
        <v>17</v>
      </c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8" t="s">
        <v>10</v>
      </c>
      <c r="E5" s="7" t="s">
        <v>11</v>
      </c>
      <c r="F5" s="12" t="s">
        <v>12</v>
      </c>
      <c r="G5" s="4"/>
      <c r="P5" s="4"/>
      <c r="Q5" s="4"/>
      <c r="R5" s="4"/>
      <c r="S5" s="4"/>
      <c r="T5" s="4"/>
    </row>
    <row r="6">
      <c r="A6" s="11">
        <f>3400+2330</f>
        <v>5730</v>
      </c>
      <c r="B6" s="11">
        <f>71</f>
        <v>71</v>
      </c>
      <c r="C6" s="11"/>
      <c r="D6" s="11">
        <v>0.0</v>
      </c>
      <c r="E6" s="11">
        <v>0.0</v>
      </c>
      <c r="F6" s="11"/>
      <c r="G6" s="4"/>
      <c r="P6" s="4"/>
      <c r="Q6" s="4"/>
      <c r="R6" s="4"/>
      <c r="S6" s="4"/>
      <c r="T6" s="4"/>
    </row>
    <row r="7">
      <c r="A7" s="13" t="s">
        <v>13</v>
      </c>
      <c r="B7" s="14" t="s">
        <v>14</v>
      </c>
      <c r="C7" s="12" t="s">
        <v>15</v>
      </c>
      <c r="D7" s="12" t="s">
        <v>16</v>
      </c>
      <c r="E7" s="12" t="s">
        <v>17</v>
      </c>
      <c r="F7" s="15" t="s">
        <v>18</v>
      </c>
      <c r="G7" s="4"/>
      <c r="P7" s="4"/>
      <c r="Q7" s="4"/>
      <c r="R7" s="4"/>
      <c r="S7" s="4"/>
      <c r="T7" s="4"/>
    </row>
    <row r="8">
      <c r="A8" s="16">
        <f>112+8</f>
        <v>120</v>
      </c>
      <c r="B8" s="17">
        <v>118.0</v>
      </c>
      <c r="C8" s="18">
        <v>4919.0</v>
      </c>
      <c r="D8" s="10">
        <v>383.0</v>
      </c>
      <c r="E8" s="11">
        <f>952</f>
        <v>952</v>
      </c>
      <c r="F8" s="19"/>
      <c r="G8" s="4"/>
      <c r="P8" s="4"/>
      <c r="Q8" s="4"/>
      <c r="R8" s="4"/>
      <c r="S8" s="4"/>
      <c r="T8" s="4"/>
    </row>
    <row r="9">
      <c r="A9" s="13" t="s">
        <v>19</v>
      </c>
      <c r="B9" s="12" t="s">
        <v>20</v>
      </c>
      <c r="C9" s="12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20">
        <v>0.0</v>
      </c>
      <c r="B10" s="11"/>
      <c r="C10" s="11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1"/>
      <c r="B11" s="21"/>
      <c r="C11" s="21"/>
      <c r="D11" s="21"/>
      <c r="E11" s="21"/>
      <c r="F11" s="21"/>
      <c r="G11" s="4"/>
      <c r="H11" s="22" t="s">
        <v>22</v>
      </c>
      <c r="I11" s="23"/>
      <c r="J11" s="2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5" t="s">
        <v>23</v>
      </c>
      <c r="B12" s="26"/>
      <c r="C12" s="26"/>
      <c r="D12" s="26"/>
      <c r="E12" s="26"/>
      <c r="F12" s="27"/>
      <c r="G12" s="4"/>
      <c r="H12" s="28"/>
      <c r="I12" s="29" t="s">
        <v>24</v>
      </c>
      <c r="J12" s="30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1"/>
      <c r="B13" s="31"/>
      <c r="C13" s="32"/>
      <c r="D13" s="4"/>
      <c r="E13" s="33"/>
      <c r="F13" s="4"/>
      <c r="G13" s="4"/>
      <c r="H13" s="28" t="s">
        <v>1</v>
      </c>
      <c r="I13" s="10">
        <f>112000+102000</f>
        <v>214000</v>
      </c>
      <c r="J13" s="34">
        <f t="shared" ref="J13:J19" si="1">(I13/30/24)*1.1</f>
        <v>326.9444444</v>
      </c>
      <c r="K13" s="35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6" t="s">
        <v>27</v>
      </c>
      <c r="B14" s="37"/>
      <c r="C14" s="38"/>
      <c r="D14" s="39"/>
      <c r="E14" s="40" t="s">
        <v>27</v>
      </c>
      <c r="F14" s="21"/>
      <c r="G14" s="4"/>
      <c r="H14" s="28" t="s">
        <v>15</v>
      </c>
      <c r="I14" s="11">
        <f>1610000*2</f>
        <v>3220000</v>
      </c>
      <c r="J14" s="34">
        <f t="shared" si="1"/>
        <v>4919.444444</v>
      </c>
      <c r="K14" s="35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1" t="s">
        <v>29</v>
      </c>
      <c r="B15" s="11">
        <f>C6+E6</f>
        <v>0</v>
      </c>
      <c r="C15" s="42" t="s">
        <v>30</v>
      </c>
      <c r="D15" s="39"/>
      <c r="E15" s="43" t="str">
        <f>B19/B15</f>
        <v>#DIV/0!</v>
      </c>
      <c r="F15" s="44" t="s">
        <v>31</v>
      </c>
      <c r="G15" s="4"/>
      <c r="H15" s="45" t="s">
        <v>16</v>
      </c>
      <c r="I15" s="11">
        <f>245000+5820</f>
        <v>250820</v>
      </c>
      <c r="J15" s="34">
        <f t="shared" si="1"/>
        <v>383.1972222</v>
      </c>
      <c r="K15" s="35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1" t="s">
        <v>33</v>
      </c>
      <c r="B16" s="46">
        <v>2.5</v>
      </c>
      <c r="C16" s="42" t="s">
        <v>34</v>
      </c>
      <c r="D16" s="39"/>
      <c r="E16" s="47">
        <f>B15/30</f>
        <v>0</v>
      </c>
      <c r="F16" s="39" t="s">
        <v>35</v>
      </c>
      <c r="G16" s="4"/>
      <c r="H16" s="28" t="s">
        <v>13</v>
      </c>
      <c r="I16" s="11">
        <v>0.0</v>
      </c>
      <c r="J16" s="34">
        <f t="shared" si="1"/>
        <v>0</v>
      </c>
      <c r="K16" s="35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1" t="s">
        <v>37</v>
      </c>
      <c r="B17" s="11">
        <f>(C4+D4+D6)*1000000</f>
        <v>0</v>
      </c>
      <c r="C17" s="42" t="s">
        <v>38</v>
      </c>
      <c r="D17" s="39"/>
      <c r="E17" s="48">
        <f>E16*0.5</f>
        <v>0</v>
      </c>
      <c r="F17" s="49" t="s">
        <v>39</v>
      </c>
      <c r="G17" s="4"/>
      <c r="H17" s="45" t="s">
        <v>14</v>
      </c>
      <c r="I17" s="10">
        <v>0.0</v>
      </c>
      <c r="J17" s="34">
        <f t="shared" si="1"/>
        <v>0</v>
      </c>
      <c r="K17" s="35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1" t="s">
        <v>41</v>
      </c>
      <c r="B18" s="11">
        <f>(B17*B16)*1024</f>
        <v>0</v>
      </c>
      <c r="C18" s="42" t="s">
        <v>42</v>
      </c>
      <c r="D18" s="39"/>
      <c r="E18" s="48">
        <f>E16*0.4</f>
        <v>0</v>
      </c>
      <c r="F18" s="49" t="s">
        <v>43</v>
      </c>
      <c r="G18" s="4"/>
      <c r="H18" s="50" t="s">
        <v>44</v>
      </c>
      <c r="I18" s="11">
        <v>0.0</v>
      </c>
      <c r="J18" s="51">
        <f t="shared" si="1"/>
        <v>0</v>
      </c>
      <c r="K18" s="35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1" t="s">
        <v>46</v>
      </c>
      <c r="B19" s="46">
        <f>B18/POW(1024,3)</f>
        <v>0</v>
      </c>
      <c r="C19" s="42" t="s">
        <v>30</v>
      </c>
      <c r="D19" s="39"/>
      <c r="E19" s="52">
        <f>E16*0.1</f>
        <v>0</v>
      </c>
      <c r="F19" s="53" t="s">
        <v>47</v>
      </c>
      <c r="G19" s="4"/>
      <c r="H19" s="54" t="s">
        <v>48</v>
      </c>
      <c r="I19" s="55">
        <v>0.0</v>
      </c>
      <c r="J19" s="56">
        <f t="shared" si="1"/>
        <v>0</v>
      </c>
      <c r="K19" s="57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8" t="s">
        <v>50</v>
      </c>
      <c r="B20" s="59">
        <f>B19/30</f>
        <v>0</v>
      </c>
      <c r="C20" s="60" t="s">
        <v>51</v>
      </c>
      <c r="D20" s="4"/>
      <c r="E20" s="33"/>
      <c r="F20" s="31"/>
      <c r="G20" s="4"/>
      <c r="H20" s="61"/>
      <c r="I20" s="62"/>
      <c r="J20" s="63"/>
      <c r="K20" s="31"/>
      <c r="L20" s="4"/>
      <c r="M20" s="4"/>
      <c r="N20" s="4"/>
      <c r="O20" s="4"/>
      <c r="P20" s="4"/>
      <c r="Q20" s="4"/>
      <c r="R20" s="4"/>
      <c r="S20" s="4"/>
      <c r="T20" s="4"/>
    </row>
    <row r="21">
      <c r="A21" s="21"/>
      <c r="B21" s="64"/>
      <c r="C21" s="32"/>
      <c r="D21" s="39"/>
      <c r="E21" s="36" t="s">
        <v>52</v>
      </c>
      <c r="F21" s="21"/>
      <c r="G21" s="4"/>
      <c r="H21" s="65"/>
      <c r="I21" s="66" t="s">
        <v>53</v>
      </c>
      <c r="J21" s="67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8" t="s">
        <v>52</v>
      </c>
      <c r="B22" s="37"/>
      <c r="C22" s="38"/>
      <c r="D22" s="39"/>
      <c r="E22" s="69">
        <f>sum(B25:B29)</f>
        <v>4401207.1</v>
      </c>
      <c r="F22" s="70" t="s">
        <v>55</v>
      </c>
      <c r="G22" s="4"/>
      <c r="H22" s="71" t="s">
        <v>18</v>
      </c>
      <c r="I22" s="72">
        <v>0.0</v>
      </c>
      <c r="J22" s="73">
        <f t="shared" ref="J22:J24" si="2">I22/30.4</f>
        <v>0</v>
      </c>
      <c r="K22" s="35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1" t="s">
        <v>25</v>
      </c>
      <c r="B23" s="20">
        <f>A4+A8+B8+F6+C10+B10</f>
        <v>565</v>
      </c>
      <c r="C23" s="42"/>
      <c r="D23" s="39"/>
      <c r="E23" s="47">
        <f>E22/1000</f>
        <v>4401.2071</v>
      </c>
      <c r="F23" s="39" t="s">
        <v>57</v>
      </c>
      <c r="G23" s="4"/>
      <c r="H23" s="74" t="s">
        <v>58</v>
      </c>
      <c r="I23" s="75">
        <v>0.0</v>
      </c>
      <c r="J23" s="76">
        <f t="shared" si="2"/>
        <v>0</v>
      </c>
      <c r="K23" s="35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7" t="s">
        <v>15</v>
      </c>
      <c r="B24" s="78">
        <f>C8+D8</f>
        <v>5302</v>
      </c>
      <c r="C24" s="70"/>
      <c r="D24" s="39"/>
      <c r="E24" s="79">
        <v>3.3E-5</v>
      </c>
      <c r="F24" s="39" t="s">
        <v>60</v>
      </c>
      <c r="G24" s="4"/>
      <c r="H24" s="80" t="s">
        <v>61</v>
      </c>
      <c r="I24" s="81">
        <v>0.0</v>
      </c>
      <c r="J24" s="82">
        <f t="shared" si="2"/>
        <v>0</v>
      </c>
      <c r="K24" s="35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3" t="s">
        <v>18</v>
      </c>
      <c r="B25" s="84">
        <f>(F8*0.1)*3</f>
        <v>0</v>
      </c>
      <c r="C25" s="85" t="s">
        <v>55</v>
      </c>
      <c r="D25" s="39"/>
      <c r="E25" s="86"/>
      <c r="F25" s="87"/>
      <c r="G25" s="4"/>
      <c r="H25" s="4"/>
      <c r="I25" s="3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1" t="s">
        <v>6</v>
      </c>
      <c r="B26" s="11">
        <f>(F4*0.1)*3</f>
        <v>5.1</v>
      </c>
      <c r="C26" s="42" t="s">
        <v>55</v>
      </c>
      <c r="D26" s="88" t="s">
        <v>63</v>
      </c>
      <c r="E26" s="52">
        <f>E22*E24</f>
        <v>145.2398343</v>
      </c>
      <c r="F26" s="89" t="s">
        <v>64</v>
      </c>
      <c r="G26" s="4"/>
      <c r="H26" s="4"/>
      <c r="I26" s="3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1" t="s">
        <v>65</v>
      </c>
      <c r="B27" s="11">
        <f>((B24+B23)*750)</f>
        <v>4400250</v>
      </c>
      <c r="C27" s="42" t="s">
        <v>55</v>
      </c>
      <c r="D27" s="4"/>
      <c r="E27" s="37"/>
      <c r="F27" s="4"/>
      <c r="G27" s="4"/>
      <c r="H27" s="4"/>
      <c r="I27" s="4"/>
      <c r="J27" s="4"/>
      <c r="K27" s="64"/>
      <c r="L27" s="64"/>
      <c r="M27" s="4"/>
      <c r="N27" s="4"/>
      <c r="O27" s="4"/>
      <c r="P27" s="4"/>
      <c r="Q27" s="4"/>
      <c r="R27" s="4"/>
      <c r="S27" s="4"/>
      <c r="T27" s="4"/>
    </row>
    <row r="28">
      <c r="A28" s="90" t="s">
        <v>2</v>
      </c>
      <c r="B28" s="11">
        <f>B4</f>
        <v>952</v>
      </c>
      <c r="C28" s="42" t="s">
        <v>55</v>
      </c>
      <c r="D28" s="39"/>
      <c r="E28" s="91" t="s">
        <v>66</v>
      </c>
      <c r="F28" s="92"/>
      <c r="G28" s="4"/>
      <c r="H28" s="93" t="s">
        <v>67</v>
      </c>
      <c r="I28" s="4"/>
      <c r="J28" s="4"/>
      <c r="K28" s="64"/>
      <c r="L28" s="64"/>
      <c r="M28" s="4"/>
      <c r="N28" s="4"/>
      <c r="O28" s="4"/>
      <c r="P28" s="4"/>
      <c r="Q28" s="4"/>
      <c r="R28" s="4"/>
      <c r="S28" s="4"/>
      <c r="T28" s="4"/>
    </row>
    <row r="29">
      <c r="A29" s="58" t="s">
        <v>68</v>
      </c>
      <c r="B29" s="94"/>
      <c r="C29" s="60" t="s">
        <v>69</v>
      </c>
      <c r="D29" s="39"/>
      <c r="E29" s="43">
        <f>B34/B33</f>
        <v>0.017725598</v>
      </c>
      <c r="F29" s="95" t="s">
        <v>31</v>
      </c>
      <c r="G29" s="4"/>
      <c r="H29" s="4"/>
      <c r="I29" s="4"/>
      <c r="J29" s="4"/>
      <c r="K29" s="4"/>
      <c r="L29" s="64"/>
      <c r="M29" s="4"/>
      <c r="N29" s="4"/>
      <c r="O29" s="4"/>
      <c r="P29" s="4"/>
      <c r="Q29" s="4"/>
      <c r="R29" s="4"/>
      <c r="S29" s="4"/>
      <c r="T29" s="4"/>
    </row>
    <row r="30">
      <c r="A30" s="21"/>
      <c r="B30" s="96"/>
      <c r="C30" s="32"/>
      <c r="D30" s="39"/>
      <c r="E30" s="69">
        <f>B35</f>
        <v>191</v>
      </c>
      <c r="F30" s="39" t="s">
        <v>70</v>
      </c>
      <c r="G30" s="4"/>
      <c r="H30" s="4"/>
      <c r="I30" s="4"/>
      <c r="J30" s="4"/>
      <c r="K30" s="64"/>
      <c r="L30" s="64"/>
      <c r="M30" s="4"/>
      <c r="N30" s="4"/>
      <c r="O30" s="4"/>
      <c r="P30" s="4"/>
      <c r="Q30" s="4"/>
      <c r="R30" s="4"/>
      <c r="S30" s="4"/>
      <c r="T30" s="4"/>
    </row>
    <row r="31">
      <c r="A31" s="97" t="s">
        <v>66</v>
      </c>
      <c r="B31" s="37"/>
      <c r="C31" s="38"/>
      <c r="D31" s="39"/>
      <c r="E31" s="69">
        <f>E30*E29</f>
        <v>3.385589218</v>
      </c>
      <c r="F31" s="39" t="s">
        <v>71</v>
      </c>
      <c r="G31" s="4"/>
      <c r="H31" s="4"/>
      <c r="I31" s="4"/>
      <c r="J31" s="4"/>
      <c r="K31" s="64"/>
      <c r="L31" s="64"/>
      <c r="M31" s="4"/>
      <c r="N31" s="4"/>
      <c r="O31" s="4"/>
      <c r="P31" s="4"/>
      <c r="Q31" s="4"/>
      <c r="R31" s="4"/>
      <c r="S31" s="4"/>
      <c r="T31" s="4"/>
    </row>
    <row r="32">
      <c r="A32" s="28" t="s">
        <v>72</v>
      </c>
      <c r="B32" s="11">
        <v>1.5</v>
      </c>
      <c r="C32" s="42" t="s">
        <v>34</v>
      </c>
      <c r="D32" s="39"/>
      <c r="E32" s="48">
        <f>E30-E33</f>
        <v>187.6144108</v>
      </c>
      <c r="F32" s="98" t="s">
        <v>73</v>
      </c>
      <c r="G32" s="4"/>
      <c r="H32" s="9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8" t="s">
        <v>74</v>
      </c>
      <c r="B33" s="11">
        <f>A6</f>
        <v>5730</v>
      </c>
      <c r="C33" s="100" t="s">
        <v>75</v>
      </c>
      <c r="D33" s="39"/>
      <c r="E33" s="52">
        <f>E30*E29</f>
        <v>3.385589218</v>
      </c>
      <c r="F33" s="101" t="s">
        <v>76</v>
      </c>
      <c r="G33" s="4"/>
      <c r="H33" s="9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8" t="s">
        <v>77</v>
      </c>
      <c r="B34" s="11">
        <f>((B6*1000000+E8)*B32)/1024/1024</f>
        <v>101.5676765</v>
      </c>
      <c r="C34" s="42" t="s">
        <v>75</v>
      </c>
      <c r="D34" s="4"/>
      <c r="E34" s="102"/>
      <c r="F34" s="10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4" t="s">
        <v>78</v>
      </c>
      <c r="B35" s="105">
        <f>B33/30</f>
        <v>191</v>
      </c>
      <c r="C35" s="60" t="s">
        <v>75</v>
      </c>
      <c r="D35" s="77"/>
      <c r="E35" s="106" t="s">
        <v>79</v>
      </c>
      <c r="F35" s="10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7"/>
      <c r="E36" s="108" t="s">
        <v>80</v>
      </c>
      <c r="F36" s="78">
        <f>E16</f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7"/>
      <c r="E37" s="108" t="s">
        <v>81</v>
      </c>
      <c r="F37" s="78">
        <f>E22</f>
        <v>4401207.1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7"/>
      <c r="E38" s="108" t="s">
        <v>82</v>
      </c>
      <c r="F38" s="78">
        <f>E32+E33</f>
        <v>191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7"/>
      <c r="E39" s="108" t="s">
        <v>58</v>
      </c>
      <c r="F39" s="78" t="str">
        <f>E4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7"/>
      <c r="E40" s="109" t="s">
        <v>83</v>
      </c>
      <c r="F40" s="11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1"/>
      <c r="F42" s="3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93" t="s">
        <v>84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7"/>
      <c r="E46" s="110" t="s">
        <v>85</v>
      </c>
      <c r="F46" s="1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9">
        <v>327.0</v>
      </c>
      <c r="B4" s="10">
        <v>952.0</v>
      </c>
      <c r="C4" s="11">
        <v>0.0</v>
      </c>
      <c r="D4" s="11"/>
      <c r="E4" s="11"/>
      <c r="F4" s="11">
        <f>12+5</f>
        <v>17</v>
      </c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8" t="s">
        <v>10</v>
      </c>
      <c r="E5" s="7" t="s">
        <v>11</v>
      </c>
      <c r="F5" s="12" t="s">
        <v>12</v>
      </c>
      <c r="G5" s="4"/>
      <c r="P5" s="4"/>
      <c r="Q5" s="4"/>
      <c r="R5" s="4"/>
      <c r="S5" s="4"/>
      <c r="T5" s="4"/>
    </row>
    <row r="6">
      <c r="A6" s="11">
        <f>3400+2330</f>
        <v>5730</v>
      </c>
      <c r="B6" s="11">
        <f>71</f>
        <v>71</v>
      </c>
      <c r="C6" s="11"/>
      <c r="D6" s="11">
        <v>0.0</v>
      </c>
      <c r="E6" s="11">
        <v>0.0</v>
      </c>
      <c r="F6" s="11"/>
      <c r="G6" s="4"/>
      <c r="P6" s="4"/>
      <c r="Q6" s="4"/>
      <c r="R6" s="4"/>
      <c r="S6" s="4"/>
      <c r="T6" s="4"/>
    </row>
    <row r="7">
      <c r="A7" s="13" t="s">
        <v>13</v>
      </c>
      <c r="B7" s="14" t="s">
        <v>14</v>
      </c>
      <c r="C7" s="12" t="s">
        <v>15</v>
      </c>
      <c r="D7" s="12" t="s">
        <v>16</v>
      </c>
      <c r="E7" s="12" t="s">
        <v>17</v>
      </c>
      <c r="F7" s="15" t="s">
        <v>18</v>
      </c>
      <c r="G7" s="4"/>
      <c r="P7" s="4"/>
      <c r="Q7" s="4"/>
      <c r="R7" s="4"/>
      <c r="S7" s="4"/>
      <c r="T7" s="4"/>
    </row>
    <row r="8">
      <c r="A8" s="16">
        <f>112+8</f>
        <v>120</v>
      </c>
      <c r="B8" s="17">
        <v>118.0</v>
      </c>
      <c r="C8" s="18">
        <v>4919.0</v>
      </c>
      <c r="D8" s="10">
        <v>383.0</v>
      </c>
      <c r="E8" s="11">
        <f>952</f>
        <v>952</v>
      </c>
      <c r="F8" s="19"/>
      <c r="G8" s="4"/>
      <c r="P8" s="4"/>
      <c r="Q8" s="4"/>
      <c r="R8" s="4"/>
      <c r="S8" s="4"/>
      <c r="T8" s="4"/>
    </row>
    <row r="9">
      <c r="A9" s="13" t="s">
        <v>19</v>
      </c>
      <c r="B9" s="12" t="s">
        <v>20</v>
      </c>
      <c r="C9" s="12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20">
        <v>0.0</v>
      </c>
      <c r="B10" s="11"/>
      <c r="C10" s="11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1"/>
      <c r="B11" s="21"/>
      <c r="C11" s="21"/>
      <c r="D11" s="21"/>
      <c r="E11" s="21"/>
      <c r="F11" s="21"/>
      <c r="G11" s="4"/>
      <c r="H11" s="22" t="s">
        <v>22</v>
      </c>
      <c r="I11" s="23"/>
      <c r="J11" s="2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5" t="s">
        <v>23</v>
      </c>
      <c r="B12" s="26"/>
      <c r="C12" s="26"/>
      <c r="D12" s="26"/>
      <c r="E12" s="26"/>
      <c r="F12" s="27"/>
      <c r="G12" s="4"/>
      <c r="H12" s="28"/>
      <c r="I12" s="29" t="s">
        <v>24</v>
      </c>
      <c r="J12" s="30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1"/>
      <c r="B13" s="31"/>
      <c r="C13" s="32"/>
      <c r="D13" s="4"/>
      <c r="E13" s="33"/>
      <c r="F13" s="4"/>
      <c r="G13" s="4"/>
      <c r="H13" s="28" t="s">
        <v>1</v>
      </c>
      <c r="I13" s="10">
        <v>232000.0</v>
      </c>
      <c r="J13" s="34">
        <f t="shared" ref="J13:J15" si="1">(I13/30/24)*1.1</f>
        <v>354.4444444</v>
      </c>
      <c r="K13" s="35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6" t="s">
        <v>27</v>
      </c>
      <c r="B14" s="37"/>
      <c r="C14" s="38"/>
      <c r="D14" s="39"/>
      <c r="E14" s="40" t="s">
        <v>27</v>
      </c>
      <c r="F14" s="21"/>
      <c r="G14" s="4"/>
      <c r="H14" s="28" t="s">
        <v>15</v>
      </c>
      <c r="I14" s="10">
        <v>2268000.0</v>
      </c>
      <c r="J14" s="34">
        <f t="shared" si="1"/>
        <v>3465</v>
      </c>
      <c r="K14" s="35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1" t="s">
        <v>29</v>
      </c>
      <c r="B15" s="11">
        <f>C6+E6</f>
        <v>0</v>
      </c>
      <c r="C15" s="42" t="s">
        <v>30</v>
      </c>
      <c r="D15" s="39"/>
      <c r="E15" s="43" t="str">
        <f>B19/B15</f>
        <v>#DIV/0!</v>
      </c>
      <c r="F15" s="44" t="s">
        <v>31</v>
      </c>
      <c r="G15" s="4"/>
      <c r="H15" s="45" t="s">
        <v>16</v>
      </c>
      <c r="I15" s="10">
        <v>262000.0</v>
      </c>
      <c r="J15" s="34">
        <f t="shared" si="1"/>
        <v>400.2777778</v>
      </c>
      <c r="K15" s="35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1" t="s">
        <v>33</v>
      </c>
      <c r="B16" s="46">
        <v>2.5</v>
      </c>
      <c r="C16" s="42" t="s">
        <v>34</v>
      </c>
      <c r="D16" s="39"/>
      <c r="E16" s="47">
        <f>B15/30</f>
        <v>0</v>
      </c>
      <c r="F16" s="39" t="s">
        <v>35</v>
      </c>
      <c r="G16" s="4"/>
      <c r="H16" s="28" t="s">
        <v>13</v>
      </c>
      <c r="I16" s="10">
        <v>0.0</v>
      </c>
      <c r="J16" s="112">
        <v>121.0</v>
      </c>
      <c r="K16" s="35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1" t="s">
        <v>37</v>
      </c>
      <c r="B17" s="11">
        <f>(C4+D4+D6)*1000000</f>
        <v>0</v>
      </c>
      <c r="C17" s="42" t="s">
        <v>38</v>
      </c>
      <c r="D17" s="39"/>
      <c r="E17" s="48">
        <f>E16*0.5</f>
        <v>0</v>
      </c>
      <c r="F17" s="49" t="s">
        <v>39</v>
      </c>
      <c r="G17" s="4"/>
      <c r="H17" s="45" t="s">
        <v>14</v>
      </c>
      <c r="I17" s="10">
        <v>0.0</v>
      </c>
      <c r="J17" s="112">
        <v>121.0</v>
      </c>
      <c r="K17" s="35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1" t="s">
        <v>41</v>
      </c>
      <c r="B18" s="11">
        <f>(B17*B16)*1024</f>
        <v>0</v>
      </c>
      <c r="C18" s="42" t="s">
        <v>42</v>
      </c>
      <c r="D18" s="39"/>
      <c r="E18" s="48">
        <f>E16*0.4</f>
        <v>0</v>
      </c>
      <c r="F18" s="49" t="s">
        <v>43</v>
      </c>
      <c r="G18" s="4"/>
      <c r="H18" s="50" t="s">
        <v>44</v>
      </c>
      <c r="I18" s="11">
        <v>0.0</v>
      </c>
      <c r="J18" s="51">
        <f t="shared" ref="J18:J19" si="2">(I18/30/24)*1.1</f>
        <v>0</v>
      </c>
      <c r="K18" s="35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1" t="s">
        <v>46</v>
      </c>
      <c r="B19" s="46">
        <f>B18/POW(1024,3)</f>
        <v>0</v>
      </c>
      <c r="C19" s="42" t="s">
        <v>30</v>
      </c>
      <c r="D19" s="39"/>
      <c r="E19" s="52">
        <f>E16*0.1</f>
        <v>0</v>
      </c>
      <c r="F19" s="53" t="s">
        <v>47</v>
      </c>
      <c r="G19" s="4"/>
      <c r="H19" s="54" t="s">
        <v>48</v>
      </c>
      <c r="I19" s="55">
        <v>0.0</v>
      </c>
      <c r="J19" s="56">
        <f t="shared" si="2"/>
        <v>0</v>
      </c>
      <c r="K19" s="57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8" t="s">
        <v>50</v>
      </c>
      <c r="B20" s="59">
        <f>B19/30</f>
        <v>0</v>
      </c>
      <c r="C20" s="60" t="s">
        <v>51</v>
      </c>
      <c r="D20" s="4"/>
      <c r="E20" s="33"/>
      <c r="F20" s="31"/>
      <c r="G20" s="4"/>
      <c r="H20" s="61"/>
      <c r="I20" s="62"/>
      <c r="J20" s="63"/>
      <c r="K20" s="31"/>
      <c r="L20" s="4"/>
      <c r="M20" s="4"/>
      <c r="N20" s="4"/>
      <c r="O20" s="4"/>
      <c r="P20" s="4"/>
      <c r="Q20" s="4"/>
      <c r="R20" s="4"/>
      <c r="S20" s="4"/>
      <c r="T20" s="4"/>
    </row>
    <row r="21">
      <c r="A21" s="21"/>
      <c r="B21" s="64"/>
      <c r="C21" s="32"/>
      <c r="D21" s="39"/>
      <c r="E21" s="36" t="s">
        <v>52</v>
      </c>
      <c r="F21" s="21"/>
      <c r="G21" s="4"/>
      <c r="H21" s="65"/>
      <c r="I21" s="66" t="s">
        <v>53</v>
      </c>
      <c r="J21" s="67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8" t="s">
        <v>52</v>
      </c>
      <c r="B22" s="37"/>
      <c r="C22" s="38"/>
      <c r="D22" s="39"/>
      <c r="E22" s="69">
        <f>sum(B25:B29)</f>
        <v>4401207.1</v>
      </c>
      <c r="F22" s="70" t="s">
        <v>55</v>
      </c>
      <c r="G22" s="4"/>
      <c r="H22" s="71" t="s">
        <v>18</v>
      </c>
      <c r="I22" s="72">
        <v>0.0</v>
      </c>
      <c r="J22" s="73">
        <f t="shared" ref="J22:J24" si="3">I22/30.4</f>
        <v>0</v>
      </c>
      <c r="K22" s="35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1" t="s">
        <v>25</v>
      </c>
      <c r="B23" s="20">
        <f>A4+A8+B8+F6+C10+B10</f>
        <v>565</v>
      </c>
      <c r="C23" s="42"/>
      <c r="D23" s="39"/>
      <c r="E23" s="47">
        <f>E22/1000</f>
        <v>4401.2071</v>
      </c>
      <c r="F23" s="39" t="s">
        <v>57</v>
      </c>
      <c r="G23" s="4"/>
      <c r="H23" s="74" t="s">
        <v>58</v>
      </c>
      <c r="I23" s="75">
        <v>0.0</v>
      </c>
      <c r="J23" s="76">
        <f t="shared" si="3"/>
        <v>0</v>
      </c>
      <c r="K23" s="35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7" t="s">
        <v>15</v>
      </c>
      <c r="B24" s="78">
        <f>C8+D8</f>
        <v>5302</v>
      </c>
      <c r="C24" s="70"/>
      <c r="D24" s="39"/>
      <c r="E24" s="79">
        <v>3.3E-5</v>
      </c>
      <c r="F24" s="39" t="s">
        <v>60</v>
      </c>
      <c r="G24" s="4"/>
      <c r="H24" s="80" t="s">
        <v>61</v>
      </c>
      <c r="I24" s="81">
        <v>0.0</v>
      </c>
      <c r="J24" s="82">
        <f t="shared" si="3"/>
        <v>0</v>
      </c>
      <c r="K24" s="35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3" t="s">
        <v>18</v>
      </c>
      <c r="B25" s="84">
        <f>(F8*0.1)*3</f>
        <v>0</v>
      </c>
      <c r="C25" s="85" t="s">
        <v>55</v>
      </c>
      <c r="D25" s="39"/>
      <c r="E25" s="86"/>
      <c r="F25" s="87"/>
      <c r="G25" s="4"/>
      <c r="H25" s="4"/>
      <c r="I25" s="3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1" t="s">
        <v>6</v>
      </c>
      <c r="B26" s="11">
        <f>(F4*0.1)*3</f>
        <v>5.1</v>
      </c>
      <c r="C26" s="42" t="s">
        <v>55</v>
      </c>
      <c r="D26" s="88" t="s">
        <v>86</v>
      </c>
      <c r="E26" s="52">
        <f>E22*E24</f>
        <v>145.2398343</v>
      </c>
      <c r="F26" s="89" t="s">
        <v>64</v>
      </c>
      <c r="G26" s="4"/>
      <c r="H26" s="4"/>
      <c r="I26" s="3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1" t="s">
        <v>65</v>
      </c>
      <c r="B27" s="11">
        <f>((B24+B23)*750)</f>
        <v>4400250</v>
      </c>
      <c r="C27" s="42" t="s">
        <v>55</v>
      </c>
      <c r="D27" s="4"/>
      <c r="E27" s="37"/>
      <c r="F27" s="4"/>
      <c r="G27" s="4"/>
      <c r="H27" s="4"/>
      <c r="I27" s="4"/>
      <c r="J27" s="4"/>
      <c r="K27" s="64"/>
      <c r="L27" s="64"/>
      <c r="M27" s="4"/>
      <c r="N27" s="4"/>
      <c r="O27" s="4"/>
      <c r="P27" s="4"/>
      <c r="Q27" s="4"/>
      <c r="R27" s="4"/>
      <c r="S27" s="4"/>
      <c r="T27" s="4"/>
    </row>
    <row r="28">
      <c r="A28" s="90" t="s">
        <v>2</v>
      </c>
      <c r="B28" s="11">
        <f>B4</f>
        <v>952</v>
      </c>
      <c r="C28" s="42" t="s">
        <v>55</v>
      </c>
      <c r="D28" s="39"/>
      <c r="E28" s="91" t="s">
        <v>66</v>
      </c>
      <c r="F28" s="92"/>
      <c r="G28" s="4"/>
      <c r="H28" s="93" t="s">
        <v>67</v>
      </c>
      <c r="I28" s="4"/>
      <c r="J28" s="4"/>
      <c r="K28" s="64"/>
      <c r="L28" s="64"/>
      <c r="M28" s="4"/>
      <c r="N28" s="4"/>
      <c r="O28" s="4"/>
      <c r="P28" s="4"/>
      <c r="Q28" s="4"/>
      <c r="R28" s="4"/>
      <c r="S28" s="4"/>
      <c r="T28" s="4"/>
    </row>
    <row r="29">
      <c r="A29" s="58" t="s">
        <v>68</v>
      </c>
      <c r="B29" s="94"/>
      <c r="C29" s="60" t="s">
        <v>69</v>
      </c>
      <c r="D29" s="39"/>
      <c r="E29" s="43">
        <f>B34/B33</f>
        <v>0.017725598</v>
      </c>
      <c r="F29" s="95" t="s">
        <v>31</v>
      </c>
      <c r="G29" s="4"/>
      <c r="H29" s="4"/>
      <c r="I29" s="4"/>
      <c r="J29" s="4"/>
      <c r="K29" s="4"/>
      <c r="L29" s="64"/>
      <c r="M29" s="4"/>
      <c r="N29" s="4"/>
      <c r="O29" s="4"/>
      <c r="P29" s="4"/>
      <c r="Q29" s="4"/>
      <c r="R29" s="4"/>
      <c r="S29" s="4"/>
      <c r="T29" s="4"/>
    </row>
    <row r="30">
      <c r="A30" s="21"/>
      <c r="B30" s="96"/>
      <c r="C30" s="32"/>
      <c r="D30" s="39"/>
      <c r="E30" s="69">
        <f>B35</f>
        <v>191</v>
      </c>
      <c r="F30" s="39" t="s">
        <v>70</v>
      </c>
      <c r="G30" s="4"/>
      <c r="H30" s="4"/>
      <c r="I30" s="4"/>
      <c r="J30" s="4"/>
      <c r="K30" s="64"/>
      <c r="L30" s="64"/>
      <c r="M30" s="4"/>
      <c r="N30" s="4"/>
      <c r="O30" s="4"/>
      <c r="P30" s="4"/>
      <c r="Q30" s="4"/>
      <c r="R30" s="4"/>
      <c r="S30" s="4"/>
      <c r="T30" s="4"/>
    </row>
    <row r="31">
      <c r="A31" s="97" t="s">
        <v>66</v>
      </c>
      <c r="B31" s="37"/>
      <c r="C31" s="38"/>
      <c r="D31" s="39"/>
      <c r="E31" s="69">
        <f>E30*E29</f>
        <v>3.385589218</v>
      </c>
      <c r="F31" s="39" t="s">
        <v>71</v>
      </c>
      <c r="G31" s="4"/>
      <c r="H31" s="4"/>
      <c r="I31" s="4"/>
      <c r="J31" s="4"/>
      <c r="K31" s="64"/>
      <c r="L31" s="64"/>
      <c r="M31" s="4"/>
      <c r="N31" s="4"/>
      <c r="O31" s="4"/>
      <c r="P31" s="4"/>
      <c r="Q31" s="4"/>
      <c r="R31" s="4"/>
      <c r="S31" s="4"/>
      <c r="T31" s="4"/>
    </row>
    <row r="32">
      <c r="A32" s="28" t="s">
        <v>72</v>
      </c>
      <c r="B32" s="11">
        <v>1.5</v>
      </c>
      <c r="C32" s="42" t="s">
        <v>34</v>
      </c>
      <c r="D32" s="39"/>
      <c r="E32" s="48">
        <f>E30-E33</f>
        <v>187.6144108</v>
      </c>
      <c r="F32" s="98" t="s">
        <v>73</v>
      </c>
      <c r="G32" s="4"/>
      <c r="H32" s="9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8" t="s">
        <v>74</v>
      </c>
      <c r="B33" s="11">
        <f>A6</f>
        <v>5730</v>
      </c>
      <c r="C33" s="100" t="s">
        <v>75</v>
      </c>
      <c r="D33" s="39"/>
      <c r="E33" s="52">
        <f>E30*E29</f>
        <v>3.385589218</v>
      </c>
      <c r="F33" s="101" t="s">
        <v>76</v>
      </c>
      <c r="G33" s="4"/>
      <c r="H33" s="9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8" t="s">
        <v>77</v>
      </c>
      <c r="B34" s="11">
        <f>((B6*1000000+E8)*B32)/1024/1024</f>
        <v>101.5676765</v>
      </c>
      <c r="C34" s="42" t="s">
        <v>75</v>
      </c>
      <c r="D34" s="4"/>
      <c r="E34" s="102"/>
      <c r="F34" s="10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4" t="s">
        <v>78</v>
      </c>
      <c r="B35" s="105">
        <f>B33/30</f>
        <v>191</v>
      </c>
      <c r="C35" s="60" t="s">
        <v>75</v>
      </c>
      <c r="D35" s="77"/>
      <c r="E35" s="106" t="s">
        <v>79</v>
      </c>
      <c r="F35" s="10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7"/>
      <c r="E36" s="108" t="s">
        <v>80</v>
      </c>
      <c r="F36" s="78">
        <f>E16</f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7"/>
      <c r="E37" s="108" t="s">
        <v>81</v>
      </c>
      <c r="F37" s="78">
        <f>E22</f>
        <v>4401207.1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7"/>
      <c r="E38" s="108" t="s">
        <v>82</v>
      </c>
      <c r="F38" s="78">
        <f>E32+E33</f>
        <v>191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7"/>
      <c r="E39" s="108" t="s">
        <v>58</v>
      </c>
      <c r="F39" s="78" t="str">
        <f>E4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7"/>
      <c r="E40" s="109" t="s">
        <v>83</v>
      </c>
      <c r="F40" s="11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1"/>
      <c r="F42" s="3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93" t="s">
        <v>84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7"/>
      <c r="E46" s="110" t="s">
        <v>85</v>
      </c>
      <c r="F46" s="1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9">
        <v>275.0</v>
      </c>
      <c r="B4" s="10">
        <v>0.0</v>
      </c>
      <c r="C4" s="11">
        <v>0.0</v>
      </c>
      <c r="D4" s="11"/>
      <c r="E4" s="11"/>
      <c r="F4" s="11">
        <f>12+5</f>
        <v>17</v>
      </c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8" t="s">
        <v>10</v>
      </c>
      <c r="E5" s="7" t="s">
        <v>11</v>
      </c>
      <c r="F5" s="12" t="s">
        <v>12</v>
      </c>
      <c r="G5" s="4"/>
      <c r="P5" s="4"/>
      <c r="Q5" s="4"/>
      <c r="R5" s="4"/>
      <c r="S5" s="4"/>
      <c r="T5" s="4"/>
    </row>
    <row r="6">
      <c r="A6" s="10">
        <v>0.0</v>
      </c>
      <c r="B6" s="10">
        <v>0.0</v>
      </c>
      <c r="C6" s="11"/>
      <c r="D6" s="11">
        <v>0.0</v>
      </c>
      <c r="E6" s="11">
        <v>0.0</v>
      </c>
      <c r="F6" s="11"/>
      <c r="G6" s="4"/>
      <c r="P6" s="4"/>
      <c r="Q6" s="4"/>
      <c r="R6" s="4"/>
      <c r="S6" s="4"/>
      <c r="T6" s="4"/>
    </row>
    <row r="7">
      <c r="A7" s="13" t="s">
        <v>13</v>
      </c>
      <c r="B7" s="14" t="s">
        <v>14</v>
      </c>
      <c r="C7" s="12" t="s">
        <v>15</v>
      </c>
      <c r="D7" s="12" t="s">
        <v>16</v>
      </c>
      <c r="E7" s="12" t="s">
        <v>17</v>
      </c>
      <c r="F7" s="15" t="s">
        <v>18</v>
      </c>
      <c r="G7" s="4"/>
      <c r="P7" s="4"/>
      <c r="Q7" s="4"/>
      <c r="R7" s="4"/>
      <c r="S7" s="4"/>
      <c r="T7" s="4"/>
    </row>
    <row r="8">
      <c r="A8" s="18">
        <v>235.0</v>
      </c>
      <c r="B8" s="17">
        <v>0.0</v>
      </c>
      <c r="C8" s="18">
        <v>0.0</v>
      </c>
      <c r="D8" s="10">
        <v>0.0</v>
      </c>
      <c r="E8" s="10">
        <v>0.0</v>
      </c>
      <c r="F8" s="19"/>
      <c r="G8" s="4"/>
      <c r="P8" s="4"/>
      <c r="Q8" s="4"/>
      <c r="R8" s="4"/>
      <c r="S8" s="4"/>
      <c r="T8" s="4"/>
    </row>
    <row r="9">
      <c r="A9" s="13" t="s">
        <v>19</v>
      </c>
      <c r="B9" s="12" t="s">
        <v>20</v>
      </c>
      <c r="C9" s="12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20">
        <v>0.0</v>
      </c>
      <c r="B10" s="11"/>
      <c r="C10" s="11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1"/>
      <c r="B11" s="21"/>
      <c r="C11" s="21"/>
      <c r="D11" s="21"/>
      <c r="E11" s="21"/>
      <c r="F11" s="21"/>
      <c r="G11" s="4"/>
      <c r="H11" s="22" t="s">
        <v>22</v>
      </c>
      <c r="I11" s="23"/>
      <c r="J11" s="2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5" t="s">
        <v>23</v>
      </c>
      <c r="B12" s="26"/>
      <c r="C12" s="26"/>
      <c r="D12" s="26"/>
      <c r="E12" s="26"/>
      <c r="F12" s="27"/>
      <c r="G12" s="4"/>
      <c r="H12" s="28"/>
      <c r="I12" s="29" t="s">
        <v>24</v>
      </c>
      <c r="J12" s="30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1"/>
      <c r="B13" s="31"/>
      <c r="C13" s="32"/>
      <c r="D13" s="4"/>
      <c r="E13" s="33"/>
      <c r="F13" s="4"/>
      <c r="G13" s="4"/>
      <c r="H13" s="28" t="s">
        <v>1</v>
      </c>
      <c r="I13" s="10">
        <v>232000.0</v>
      </c>
      <c r="J13" s="112">
        <v>275.0</v>
      </c>
      <c r="K13" s="35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6" t="s">
        <v>27</v>
      </c>
      <c r="B14" s="37"/>
      <c r="C14" s="38"/>
      <c r="D14" s="39"/>
      <c r="E14" s="40" t="s">
        <v>27</v>
      </c>
      <c r="F14" s="21"/>
      <c r="G14" s="4"/>
      <c r="H14" s="28" t="s">
        <v>15</v>
      </c>
      <c r="I14" s="10">
        <v>2268000.0</v>
      </c>
      <c r="J14" s="34"/>
      <c r="K14" s="35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1" t="s">
        <v>29</v>
      </c>
      <c r="B15" s="11">
        <f>C6+E6</f>
        <v>0</v>
      </c>
      <c r="C15" s="42" t="s">
        <v>30</v>
      </c>
      <c r="D15" s="39"/>
      <c r="E15" s="43" t="str">
        <f>B19/B15</f>
        <v>#DIV/0!</v>
      </c>
      <c r="F15" s="44" t="s">
        <v>31</v>
      </c>
      <c r="G15" s="4"/>
      <c r="H15" s="45" t="s">
        <v>16</v>
      </c>
      <c r="I15" s="10">
        <v>262000.0</v>
      </c>
      <c r="J15" s="112">
        <v>0.0</v>
      </c>
      <c r="K15" s="35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1" t="s">
        <v>33</v>
      </c>
      <c r="B16" s="46">
        <v>2.5</v>
      </c>
      <c r="C16" s="42" t="s">
        <v>34</v>
      </c>
      <c r="D16" s="39"/>
      <c r="E16" s="47">
        <f>B15/30</f>
        <v>0</v>
      </c>
      <c r="F16" s="39" t="s">
        <v>35</v>
      </c>
      <c r="G16" s="4"/>
      <c r="H16" s="28" t="s">
        <v>13</v>
      </c>
      <c r="I16" s="10">
        <v>0.0</v>
      </c>
      <c r="J16" s="112">
        <v>235.0</v>
      </c>
      <c r="K16" s="35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1" t="s">
        <v>37</v>
      </c>
      <c r="B17" s="11">
        <f>(C4+D4+D6)*1000000</f>
        <v>0</v>
      </c>
      <c r="C17" s="42" t="s">
        <v>38</v>
      </c>
      <c r="D17" s="39"/>
      <c r="E17" s="48">
        <f>E16*0.5</f>
        <v>0</v>
      </c>
      <c r="F17" s="49" t="s">
        <v>39</v>
      </c>
      <c r="G17" s="4"/>
      <c r="H17" s="45" t="s">
        <v>14</v>
      </c>
      <c r="I17" s="10">
        <v>0.0</v>
      </c>
      <c r="J17" s="112">
        <v>0.0</v>
      </c>
      <c r="K17" s="35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1" t="s">
        <v>41</v>
      </c>
      <c r="B18" s="11">
        <f>(B17*B16)*1024</f>
        <v>0</v>
      </c>
      <c r="C18" s="42" t="s">
        <v>42</v>
      </c>
      <c r="D18" s="39"/>
      <c r="E18" s="48">
        <f>E16*0.4</f>
        <v>0</v>
      </c>
      <c r="F18" s="49" t="s">
        <v>43</v>
      </c>
      <c r="G18" s="4"/>
      <c r="H18" s="50" t="s">
        <v>44</v>
      </c>
      <c r="I18" s="11">
        <v>0.0</v>
      </c>
      <c r="J18" s="51">
        <f t="shared" ref="J18:J19" si="1">(I18/30/24)*1.1</f>
        <v>0</v>
      </c>
      <c r="K18" s="35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1" t="s">
        <v>46</v>
      </c>
      <c r="B19" s="46">
        <f>B18/POW(1024,3)</f>
        <v>0</v>
      </c>
      <c r="C19" s="42" t="s">
        <v>30</v>
      </c>
      <c r="D19" s="39"/>
      <c r="E19" s="52">
        <f>E16*0.1</f>
        <v>0</v>
      </c>
      <c r="F19" s="53" t="s">
        <v>47</v>
      </c>
      <c r="G19" s="4"/>
      <c r="H19" s="54" t="s">
        <v>48</v>
      </c>
      <c r="I19" s="55">
        <v>0.0</v>
      </c>
      <c r="J19" s="56">
        <f t="shared" si="1"/>
        <v>0</v>
      </c>
      <c r="K19" s="57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8" t="s">
        <v>50</v>
      </c>
      <c r="B20" s="59">
        <f>B19/30</f>
        <v>0</v>
      </c>
      <c r="C20" s="60" t="s">
        <v>51</v>
      </c>
      <c r="D20" s="4"/>
      <c r="E20" s="33"/>
      <c r="F20" s="31"/>
      <c r="G20" s="4"/>
      <c r="H20" s="61"/>
      <c r="I20" s="62"/>
      <c r="J20" s="63"/>
      <c r="K20" s="31"/>
      <c r="L20" s="4"/>
      <c r="M20" s="4"/>
      <c r="N20" s="4"/>
      <c r="O20" s="4"/>
      <c r="P20" s="4"/>
      <c r="Q20" s="4"/>
      <c r="R20" s="4"/>
      <c r="S20" s="4"/>
      <c r="T20" s="4"/>
    </row>
    <row r="21">
      <c r="A21" s="21"/>
      <c r="B21" s="64"/>
      <c r="C21" s="32"/>
      <c r="D21" s="39"/>
      <c r="E21" s="36" t="s">
        <v>52</v>
      </c>
      <c r="F21" s="21"/>
      <c r="G21" s="4"/>
      <c r="H21" s="65"/>
      <c r="I21" s="66" t="s">
        <v>53</v>
      </c>
      <c r="J21" s="67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8" t="s">
        <v>52</v>
      </c>
      <c r="B22" s="37"/>
      <c r="C22" s="38"/>
      <c r="D22" s="39"/>
      <c r="E22" s="69">
        <f>sum(B25:B29)</f>
        <v>382505.1</v>
      </c>
      <c r="F22" s="70" t="s">
        <v>55</v>
      </c>
      <c r="G22" s="4"/>
      <c r="H22" s="71" t="s">
        <v>18</v>
      </c>
      <c r="I22" s="72">
        <v>0.0</v>
      </c>
      <c r="J22" s="73">
        <f t="shared" ref="J22:J24" si="2">I22/30.4</f>
        <v>0</v>
      </c>
      <c r="K22" s="35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1" t="s">
        <v>25</v>
      </c>
      <c r="B23" s="20">
        <f>A4+A8+B8+F6+C10+B10</f>
        <v>510</v>
      </c>
      <c r="C23" s="42"/>
      <c r="D23" s="39"/>
      <c r="E23" s="47">
        <f>E22/1000</f>
        <v>382.5051</v>
      </c>
      <c r="F23" s="39" t="s">
        <v>57</v>
      </c>
      <c r="G23" s="4"/>
      <c r="H23" s="74" t="s">
        <v>58</v>
      </c>
      <c r="I23" s="75">
        <v>0.0</v>
      </c>
      <c r="J23" s="76">
        <f t="shared" si="2"/>
        <v>0</v>
      </c>
      <c r="K23" s="35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7" t="s">
        <v>15</v>
      </c>
      <c r="B24" s="78">
        <f>C8+D8</f>
        <v>0</v>
      </c>
      <c r="C24" s="70"/>
      <c r="D24" s="39"/>
      <c r="E24" s="79">
        <v>3.3E-5</v>
      </c>
      <c r="F24" s="39" t="s">
        <v>60</v>
      </c>
      <c r="G24" s="4"/>
      <c r="H24" s="80" t="s">
        <v>61</v>
      </c>
      <c r="I24" s="81">
        <v>0.0</v>
      </c>
      <c r="J24" s="82">
        <f t="shared" si="2"/>
        <v>0</v>
      </c>
      <c r="K24" s="35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3" t="s">
        <v>18</v>
      </c>
      <c r="B25" s="84">
        <f>(F8*0.1)*3</f>
        <v>0</v>
      </c>
      <c r="C25" s="85" t="s">
        <v>55</v>
      </c>
      <c r="D25" s="39"/>
      <c r="E25" s="86"/>
      <c r="F25" s="87"/>
      <c r="G25" s="4"/>
      <c r="H25" s="4"/>
      <c r="I25" s="3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1" t="s">
        <v>6</v>
      </c>
      <c r="B26" s="11">
        <f>(F4*0.1)*3</f>
        <v>5.1</v>
      </c>
      <c r="C26" s="42" t="s">
        <v>55</v>
      </c>
      <c r="D26" s="88" t="s">
        <v>87</v>
      </c>
      <c r="E26" s="52">
        <f>E22*E24</f>
        <v>12.6226683</v>
      </c>
      <c r="F26" s="89" t="s">
        <v>64</v>
      </c>
      <c r="G26" s="4"/>
      <c r="H26" s="4"/>
      <c r="I26" s="3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1" t="s">
        <v>65</v>
      </c>
      <c r="B27" s="11">
        <f>((B24+B23)*750)</f>
        <v>382500</v>
      </c>
      <c r="C27" s="42" t="s">
        <v>55</v>
      </c>
      <c r="D27" s="4"/>
      <c r="E27" s="37"/>
      <c r="F27" s="4"/>
      <c r="G27" s="4"/>
      <c r="H27" s="4"/>
      <c r="I27" s="4"/>
      <c r="J27" s="4"/>
      <c r="K27" s="64"/>
      <c r="L27" s="64"/>
      <c r="M27" s="4"/>
      <c r="N27" s="4"/>
      <c r="O27" s="4"/>
      <c r="P27" s="4"/>
      <c r="Q27" s="4"/>
      <c r="R27" s="4"/>
      <c r="S27" s="4"/>
      <c r="T27" s="4"/>
    </row>
    <row r="28">
      <c r="A28" s="90" t="s">
        <v>2</v>
      </c>
      <c r="B28" s="11">
        <f>B4</f>
        <v>0</v>
      </c>
      <c r="C28" s="42" t="s">
        <v>55</v>
      </c>
      <c r="D28" s="39"/>
      <c r="E28" s="91" t="s">
        <v>66</v>
      </c>
      <c r="F28" s="92"/>
      <c r="G28" s="4"/>
      <c r="H28" s="93" t="s">
        <v>67</v>
      </c>
      <c r="I28" s="4"/>
      <c r="J28" s="4"/>
      <c r="K28" s="64"/>
      <c r="L28" s="64"/>
      <c r="M28" s="4"/>
      <c r="N28" s="4"/>
      <c r="O28" s="4"/>
      <c r="P28" s="4"/>
      <c r="Q28" s="4"/>
      <c r="R28" s="4"/>
      <c r="S28" s="4"/>
      <c r="T28" s="4"/>
    </row>
    <row r="29">
      <c r="A29" s="58" t="s">
        <v>68</v>
      </c>
      <c r="B29" s="94"/>
      <c r="C29" s="60" t="s">
        <v>69</v>
      </c>
      <c r="D29" s="39"/>
      <c r="E29" s="43" t="str">
        <f>B34/B33</f>
        <v>#DIV/0!</v>
      </c>
      <c r="F29" s="95" t="s">
        <v>31</v>
      </c>
      <c r="G29" s="4"/>
      <c r="H29" s="4"/>
      <c r="I29" s="4"/>
      <c r="J29" s="4"/>
      <c r="K29" s="4"/>
      <c r="L29" s="64"/>
      <c r="M29" s="4"/>
      <c r="N29" s="4"/>
      <c r="O29" s="4"/>
      <c r="P29" s="4"/>
      <c r="Q29" s="4"/>
      <c r="R29" s="4"/>
      <c r="S29" s="4"/>
      <c r="T29" s="4"/>
    </row>
    <row r="30">
      <c r="A30" s="21"/>
      <c r="B30" s="96"/>
      <c r="C30" s="32"/>
      <c r="D30" s="39"/>
      <c r="E30" s="69">
        <f>B35</f>
        <v>0</v>
      </c>
      <c r="F30" s="39" t="s">
        <v>70</v>
      </c>
      <c r="G30" s="4"/>
      <c r="H30" s="4"/>
      <c r="I30" s="4"/>
      <c r="J30" s="4"/>
      <c r="K30" s="64"/>
      <c r="L30" s="64"/>
      <c r="M30" s="4"/>
      <c r="N30" s="4"/>
      <c r="O30" s="4"/>
      <c r="P30" s="4"/>
      <c r="Q30" s="4"/>
      <c r="R30" s="4"/>
      <c r="S30" s="4"/>
      <c r="T30" s="4"/>
    </row>
    <row r="31">
      <c r="A31" s="97" t="s">
        <v>66</v>
      </c>
      <c r="B31" s="37"/>
      <c r="C31" s="38"/>
      <c r="D31" s="39"/>
      <c r="E31" s="69" t="str">
        <f>E30*E29</f>
        <v>#DIV/0!</v>
      </c>
      <c r="F31" s="39" t="s">
        <v>71</v>
      </c>
      <c r="G31" s="4"/>
      <c r="H31" s="4"/>
      <c r="I31" s="4"/>
      <c r="J31" s="4"/>
      <c r="K31" s="64"/>
      <c r="L31" s="64"/>
      <c r="M31" s="4"/>
      <c r="N31" s="4"/>
      <c r="O31" s="4"/>
      <c r="P31" s="4"/>
      <c r="Q31" s="4"/>
      <c r="R31" s="4"/>
      <c r="S31" s="4"/>
      <c r="T31" s="4"/>
    </row>
    <row r="32">
      <c r="A32" s="28" t="s">
        <v>72</v>
      </c>
      <c r="B32" s="11">
        <v>1.5</v>
      </c>
      <c r="C32" s="42" t="s">
        <v>34</v>
      </c>
      <c r="D32" s="39"/>
      <c r="E32" s="48" t="str">
        <f>E30-E33</f>
        <v>#DIV/0!</v>
      </c>
      <c r="F32" s="98" t="s">
        <v>73</v>
      </c>
      <c r="G32" s="4"/>
      <c r="H32" s="9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8" t="s">
        <v>74</v>
      </c>
      <c r="B33" s="11">
        <f>A6</f>
        <v>0</v>
      </c>
      <c r="C33" s="100" t="s">
        <v>75</v>
      </c>
      <c r="D33" s="39"/>
      <c r="E33" s="52" t="str">
        <f>E30*E29</f>
        <v>#DIV/0!</v>
      </c>
      <c r="F33" s="101" t="s">
        <v>76</v>
      </c>
      <c r="G33" s="4"/>
      <c r="H33" s="9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8" t="s">
        <v>77</v>
      </c>
      <c r="B34" s="11">
        <f>((B6*1000000+E8)*B32)/1024/1024</f>
        <v>0</v>
      </c>
      <c r="C34" s="42" t="s">
        <v>75</v>
      </c>
      <c r="D34" s="4"/>
      <c r="E34" s="102"/>
      <c r="F34" s="10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4" t="s">
        <v>78</v>
      </c>
      <c r="B35" s="105">
        <f>B33/30</f>
        <v>0</v>
      </c>
      <c r="C35" s="60" t="s">
        <v>75</v>
      </c>
      <c r="D35" s="77"/>
      <c r="E35" s="106" t="s">
        <v>79</v>
      </c>
      <c r="F35" s="10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7"/>
      <c r="E36" s="108" t="s">
        <v>80</v>
      </c>
      <c r="F36" s="78">
        <f>E16</f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7"/>
      <c r="E37" s="108" t="s">
        <v>81</v>
      </c>
      <c r="F37" s="78">
        <f>E22</f>
        <v>382505.1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7"/>
      <c r="E38" s="108" t="s">
        <v>82</v>
      </c>
      <c r="F38" s="78" t="str">
        <f>E32+E33</f>
        <v>#DIV/0!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7"/>
      <c r="E39" s="108" t="s">
        <v>58</v>
      </c>
      <c r="F39" s="78" t="str">
        <f>E4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7"/>
      <c r="E40" s="109" t="s">
        <v>83</v>
      </c>
      <c r="F40" s="11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1"/>
      <c r="F42" s="3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93" t="s">
        <v>84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7"/>
      <c r="E46" s="110" t="s">
        <v>85</v>
      </c>
      <c r="F46" s="1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>
        <f>880*3</f>
        <v>2640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>
        <f>I51/30</f>
        <v>88</v>
      </c>
      <c r="J52" s="4">
        <f>I52*1.5</f>
        <v>132</v>
      </c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