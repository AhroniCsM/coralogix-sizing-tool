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P Customer" sheetId="1" r:id="rId5"/>
    <sheet state="visible" name="Sheet3" sheetId="2" r:id="rId6"/>
  </sheets>
  <definedNames/>
  <calcPr/>
</workbook>
</file>

<file path=xl/sharedStrings.xml><?xml version="1.0" encoding="utf-8"?>
<sst xmlns="http://schemas.openxmlformats.org/spreadsheetml/2006/main" count="153" uniqueCount="87">
  <si>
    <t>Coralogix Sizing and Costs summary</t>
  </si>
  <si>
    <t xml:space="preserve">                                                                                                                      </t>
  </si>
  <si>
    <t>Total Monthly Price</t>
  </si>
  <si>
    <t>Total GB</t>
  </si>
  <si>
    <t>Total Units</t>
  </si>
  <si>
    <t>Total Annual Price</t>
  </si>
  <si>
    <t>Price per Unit</t>
  </si>
  <si>
    <t>Unified price/GB</t>
  </si>
  <si>
    <t>Coralogix Sizing and Costs detailed</t>
  </si>
  <si>
    <t>Logs</t>
  </si>
  <si>
    <t>Total size (GB/Day)</t>
  </si>
  <si>
    <t>Retention on Customer S3</t>
  </si>
  <si>
    <t>Unlimited</t>
  </si>
  <si>
    <t>Index data retention (Days)</t>
  </si>
  <si>
    <t>Unified price per GB ($)</t>
  </si>
  <si>
    <t>Use Case</t>
  </si>
  <si>
    <t>Features</t>
  </si>
  <si>
    <t>Distribution Best Practice</t>
  </si>
  <si>
    <t>Size (GB)/day</t>
  </si>
  <si>
    <t>Cost optimization</t>
  </si>
  <si>
    <t>Price/GB</t>
  </si>
  <si>
    <t>Price/Month</t>
  </si>
  <si>
    <t>Logs Compliance</t>
  </si>
  <si>
    <t>Direct S3 archive queries
Live-tail
Error spike anomalies</t>
  </si>
  <si>
    <r>
      <rPr>
        <rFont val="Calibri"/>
        <b/>
        <color rgb="FF202B3D"/>
        <sz val="11.0"/>
      </rPr>
      <t>Compliance</t>
    </r>
    <r>
      <rPr>
        <rFont val="Calibri"/>
        <color rgb="FF202B3D"/>
        <sz val="11.0"/>
      </rPr>
      <t xml:space="preserve">
Non-critical log data that needs to be kept for compliance/post-processing reasons, will go straight to your archive.</t>
    </r>
  </si>
  <si>
    <t>Logs Monitoring</t>
  </si>
  <si>
    <r>
      <rPr>
        <rFont val="Calibri"/>
        <b/>
        <color rgb="FF202B3D"/>
        <sz val="11.0"/>
      </rPr>
      <t>Monitor</t>
    </r>
    <r>
      <rPr>
        <rFont val="Calibri"/>
        <color rgb="FF202B3D"/>
        <sz val="11.0"/>
      </rPr>
      <t xml:space="preserve">
Logs that are used for monitoring or statistics will be fully available for those use cases by allowing you to define alerts, build dashboards, view statistics, query the live data stream, and receive proactive anomalies.</t>
    </r>
  </si>
  <si>
    <t>Logs Frequent Search</t>
  </si>
  <si>
    <r>
      <rPr>
        <rFont val="Calibri"/>
        <b/>
        <color rgb="FF202B3D"/>
        <sz val="11.0"/>
      </rPr>
      <t xml:space="preserve">Frequent Search
</t>
    </r>
    <r>
      <rPr>
        <rFont val="Calibri"/>
        <color rgb="FF202B3D"/>
        <sz val="11.0"/>
      </rPr>
      <t>Your most important logs, typically high severity, or business-critical data will be stored on highly available SSDs, replicated, and ready to be queried within seconds.</t>
    </r>
  </si>
  <si>
    <t>Monthly Price</t>
  </si>
  <si>
    <t>Annual Price</t>
  </si>
  <si>
    <t>Metrics</t>
  </si>
  <si>
    <t>Total time series</t>
  </si>
  <si>
    <t>Scrape interval</t>
  </si>
  <si>
    <t>Size (GB)</t>
  </si>
  <si>
    <t>Store in S3 archive, queries, alerting, dashboards</t>
  </si>
  <si>
    <r>
      <rPr>
        <rFont val="Calibri"/>
        <b/>
        <color rgb="FF202B3D"/>
        <sz val="11.0"/>
      </rPr>
      <t>Metrics</t>
    </r>
    <r>
      <rPr>
        <rFont val="Calibri"/>
        <color rgb="FF202B3D"/>
        <sz val="11.0"/>
      </rPr>
      <t xml:space="preserve">
Collect all metric data, including infrastructure, network, security, and application metrics in a single location with no scale or retention limitations.</t>
    </r>
  </si>
  <si>
    <t>Tracing</t>
  </si>
  <si>
    <t>Traces Compliance</t>
  </si>
  <si>
    <t>Direct S3 archive query in explore screen</t>
  </si>
  <si>
    <r>
      <rPr>
        <rFont val="Calibri"/>
        <b/>
        <color rgb="FF202B3D"/>
        <sz val="11.0"/>
      </rPr>
      <t>Compliance</t>
    </r>
    <r>
      <rPr>
        <rFont val="Calibri"/>
        <color rgb="FF202B3D"/>
        <sz val="11.0"/>
      </rPr>
      <t xml:space="preserve">
Traces are archived with full query capabilities.</t>
    </r>
  </si>
  <si>
    <t>Traces Monitoring</t>
  </si>
  <si>
    <r>
      <rPr>
        <rFont val="Calibri"/>
        <b/>
        <color rgb="FF202B3D"/>
        <sz val="11.0"/>
      </rPr>
      <t>Monitor</t>
    </r>
    <r>
      <rPr>
        <rFont val="Calibri"/>
        <color rgb="FF202B3D"/>
        <sz val="11.0"/>
      </rPr>
      <t xml:space="preserve">
Alerts and Spans2Metrics dashboards can be defined on your traces, alongside archive querying.</t>
    </r>
  </si>
  <si>
    <t>Traces Frequent Search</t>
  </si>
  <si>
    <r>
      <rPr>
        <rFont val="Calibri"/>
        <b/>
        <color rgb="FF202B3D"/>
        <sz val="11.0"/>
      </rPr>
      <t xml:space="preserve">Frequent Search
</t>
    </r>
    <r>
      <rPr>
        <rFont val="Calibri"/>
        <color rgb="FF202B3D"/>
        <sz val="11.0"/>
      </rPr>
      <t>Traces are available for alerts, dashboards, archival, and lightning-fast querying.</t>
    </r>
  </si>
  <si>
    <t>RUM</t>
  </si>
  <si>
    <t>Total Errors</t>
  </si>
  <si>
    <t>Total Sessions</t>
  </si>
  <si>
    <t>RUM Compliance</t>
  </si>
  <si>
    <r>
      <rPr>
        <rFont val="Calibri"/>
        <b/>
        <color rgb="FF202B3D"/>
        <sz val="11.0"/>
      </rPr>
      <t>Compliance</t>
    </r>
    <r>
      <rPr>
        <rFont val="Calibri"/>
        <color rgb="FF202B3D"/>
        <sz val="11.0"/>
      </rPr>
      <t xml:space="preserve">
Non-critical front-end data that needs to be kept for compliance/post-processing reasons, will go straight to your archive.</t>
    </r>
  </si>
  <si>
    <t>RUM Monitoring</t>
  </si>
  <si>
    <r>
      <rPr>
        <rFont val="Calibri"/>
        <b/>
        <color rgb="FF202B3D"/>
        <sz val="11.0"/>
      </rPr>
      <t>Monitor</t>
    </r>
    <r>
      <rPr>
        <rFont val="Calibri"/>
        <color rgb="FF202B3D"/>
        <sz val="11.0"/>
      </rPr>
      <t xml:space="preserve">
Front-end data that is used for monitoring or statistics will be fully available for those use cases by allowing you to define alerts, build dashboards, view statistics, query the live data stream, and receive proactive anomalies.</t>
    </r>
  </si>
  <si>
    <t>RUM Frequent Search</t>
  </si>
  <si>
    <r>
      <rPr>
        <rFont val="Calibri"/>
        <b/>
        <color rgb="FF202B3D"/>
        <sz val="11.0"/>
      </rPr>
      <t xml:space="preserve">Frequent Search
</t>
    </r>
    <r>
      <rPr>
        <rFont val="Calibri"/>
        <color rgb="FF202B3D"/>
        <sz val="11.0"/>
      </rPr>
      <t>Your most important front-end data will be stored on highly available SSDs, replicated, and ready to be queried within seconds.</t>
    </r>
  </si>
  <si>
    <t>In-Stream SIEM</t>
  </si>
  <si>
    <t># of CSPM protected accounts</t>
  </si>
  <si>
    <t># STA protected accounts</t>
  </si>
  <si>
    <t xml:space="preserve">1yr Snowbit SRC subscription </t>
  </si>
  <si>
    <t>No</t>
  </si>
  <si>
    <t xml:space="preserve">Daily Price ($) </t>
  </si>
  <si>
    <t>Price/unit</t>
  </si>
  <si>
    <t>Special Discount</t>
  </si>
  <si>
    <t>Final price/Month</t>
  </si>
  <si>
    <t>CSPM</t>
  </si>
  <si>
    <t>Automated Cloud Posture Assessments and Managment</t>
  </si>
  <si>
    <r>
      <rPr>
        <rFont val="Calibri"/>
        <b/>
        <color rgb="FF202B3D"/>
        <sz val="11.0"/>
      </rPr>
      <t xml:space="preserve">Security
</t>
    </r>
    <r>
      <rPr>
        <rFont val="Calibri"/>
        <color rgb="FF202B3D"/>
        <sz val="11.0"/>
      </rPr>
      <t>Proactive Assessments of cloud, SaaS security, posture management (CSPM, SSPM) and auditing logs. Define alerts, Events2Metrics dashboards, and other insights on your data for a unified view of your cloud security.</t>
    </r>
  </si>
  <si>
    <t>STA</t>
  </si>
  <si>
    <t>Security Traffic Analyzer</t>
  </si>
  <si>
    <t>SRC</t>
  </si>
  <si>
    <t>Snowbit Managed Extended Detection and Response</t>
  </si>
  <si>
    <t>Services and Support</t>
  </si>
  <si>
    <t>Service</t>
  </si>
  <si>
    <t>Price</t>
  </si>
  <si>
    <t>Professional Services</t>
  </si>
  <si>
    <t>Support with Onboarding, Assisted Migration of observability assets (dashboards, alerts &amp; configurations), Dedicated account manager, Dedicated technical account manager, Integrations sessions, Remote training</t>
  </si>
  <si>
    <r>
      <rPr>
        <rFont val="Calibri"/>
        <b/>
        <color rgb="FF202B3D"/>
        <sz val="11.0"/>
      </rPr>
      <t xml:space="preserve">Services and Support
</t>
    </r>
    <r>
      <rPr>
        <rFont val="Calibri"/>
        <color rgb="FF202B3D"/>
        <sz val="11.0"/>
      </rPr>
      <t xml:space="preserve">Our dedicated customer success team is available 24/7 to provide world-class support via in-app chat. </t>
    </r>
  </si>
  <si>
    <t>Support</t>
  </si>
  <si>
    <t>24\7 Technical and operational support with less than 1-min humen response time</t>
  </si>
  <si>
    <t>Included</t>
  </si>
  <si>
    <t>Coralogix Business Value</t>
  </si>
  <si>
    <t>Observabilty Coverage</t>
  </si>
  <si>
    <t>DataDog</t>
  </si>
  <si>
    <t>Coralogix</t>
  </si>
  <si>
    <t>Insights Coverage %</t>
  </si>
  <si>
    <r>
      <rPr>
        <rFont val="Calibri, Arial"/>
        <b/>
        <color theme="1"/>
        <sz val="12.0"/>
      </rPr>
      <t xml:space="preserve">Higher Insights Coverage % for Logs and Metrics - Business Value:
Proactive Problem Resolution: 
</t>
    </r>
    <r>
      <rPr>
        <rFont val="Calibri, Arial"/>
        <b val="0"/>
        <color theme="1"/>
        <sz val="12.0"/>
      </rPr>
      <t>Higher percentage insights coverage allows you to anticipate issues before they become critical, enabling preventative actions and minimizing risks.</t>
    </r>
    <r>
      <rPr>
        <rFont val="Calibri, Arial"/>
        <b/>
        <color theme="1"/>
        <sz val="12.0"/>
      </rPr>
      <t xml:space="preserve">
Rapid Issue Identification:
</t>
    </r>
    <r>
      <rPr>
        <rFont val="Calibri, Arial"/>
        <b val="0"/>
        <color theme="1"/>
        <sz val="12.0"/>
      </rPr>
      <t>Higher percentage insights allow for quicker detection and resolution of issues, reducing downtime and avoiding negative business impact.</t>
    </r>
    <r>
      <rPr>
        <rFont val="Calibri, Arial"/>
        <b/>
        <color theme="1"/>
        <sz val="12.0"/>
      </rPr>
      <t xml:space="preserve">
Informed Decision Making: 
</t>
    </r>
    <r>
      <rPr>
        <rFont val="Calibri, Arial"/>
        <b val="0"/>
        <color theme="1"/>
        <sz val="12.0"/>
      </rPr>
      <t>Access to higher percentage insights enables more accurate and data-driven decisions regarding your business.</t>
    </r>
  </si>
  <si>
    <t>Query Coverage %</t>
  </si>
  <si>
    <r>
      <rPr>
        <rFont val="Calibri, Arial"/>
        <b/>
        <color theme="1"/>
        <sz val="12.0"/>
      </rPr>
      <t xml:space="preserve">Higher Query Coverage % - Business Value for Iress
Developers - Better and Faster Deployment:
</t>
    </r>
    <r>
      <rPr>
        <rFont val="Calibri, Arial"/>
        <b val="0"/>
        <color theme="1"/>
        <sz val="12.0"/>
      </rPr>
      <t>Developers can utilize Coralogix’s higher query coverage to rapidly identify, diagnose, and correct code or system issues during the development and post-deployment phases.</t>
    </r>
    <r>
      <rPr>
        <rFont val="Calibri, Arial"/>
        <b/>
        <color theme="1"/>
        <sz val="12.0"/>
      </rPr>
      <t xml:space="preserve">
Support Teams - Higher Customer Satisfaction Rapid Resolution:
</t>
    </r>
    <r>
      <rPr>
        <rFont val="Calibri, Arial"/>
        <b val="0"/>
        <color theme="1"/>
        <sz val="12.0"/>
      </rPr>
      <t>Achieving higher customer satisfaction with Coralogix’s higher query coverage allows your support team to dive deep into issues reported by customers or internal users, extracting detailed insights from any data, and facilitating faster diagnostics and issue resolution.</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</si>
</sst>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00"/>
    <numFmt numFmtId="165" formatCode="&quot;$&quot;#,##0.000"/>
    <numFmt numFmtId="166" formatCode="&quot;$&quot;#,##0.0000"/>
    <numFmt numFmtId="167" formatCode="#,##0 &quot;sec&quot;"/>
    <numFmt numFmtId="168" formatCode="&quot;$&quot;#,##0"/>
    <numFmt numFmtId="169" formatCode="0.0%"/>
    <numFmt numFmtId="170" formatCode="#,##0.0"/>
  </numFmts>
  <fonts count="15">
    <font>
      <sz val="10.0"/>
      <color rgb="FF000000"/>
      <name val="Arial"/>
      <scheme val="minor"/>
    </font>
    <font>
      <b/>
      <sz val="14.0"/>
      <color rgb="FF000000"/>
      <name val="Arial"/>
    </font>
    <font>
      <sz val="11.0"/>
      <color theme="1"/>
      <name val="Calibri"/>
    </font>
    <font>
      <b/>
      <sz val="12.0"/>
      <color rgb="FF000000"/>
      <name val="Calibri"/>
    </font>
    <font>
      <color theme="1"/>
      <name val="Arial"/>
    </font>
    <font>
      <b/>
      <sz val="14.0"/>
      <color rgb="FF000000"/>
      <name val="Calibri"/>
    </font>
    <font/>
    <font>
      <sz val="12.0"/>
      <color rgb="FF000000"/>
      <name val="Calibri"/>
    </font>
    <font>
      <sz val="12.0"/>
      <color theme="1"/>
      <name val="Calibri"/>
    </font>
    <font>
      <sz val="9.0"/>
      <color rgb="FF1155CC"/>
      <name val="&quot;Google Sans Mono&quot;"/>
    </font>
    <font>
      <b/>
      <sz val="11.0"/>
      <color rgb="FF000000"/>
      <name val="Calibri"/>
    </font>
    <font>
      <sz val="11.0"/>
      <color rgb="FF202B3D"/>
      <name val="Calibri"/>
    </font>
    <font>
      <sz val="12.0"/>
      <color theme="1"/>
      <name val="Arial"/>
    </font>
    <font>
      <b/>
      <sz val="15.0"/>
      <color theme="1"/>
      <name val="Calibri"/>
    </font>
    <font>
      <b/>
      <sz val="12.0"/>
      <color theme="1"/>
      <name val="Calibri"/>
    </font>
  </fonts>
  <fills count="10">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FFFF00"/>
        <bgColor rgb="FFFFFF00"/>
      </patternFill>
    </fill>
    <fill>
      <patternFill patternType="solid">
        <fgColor rgb="FFF3F3F3"/>
        <bgColor rgb="FFF3F3F3"/>
      </patternFill>
    </fill>
    <fill>
      <patternFill patternType="solid">
        <fgColor rgb="FFD9D9D9"/>
        <bgColor rgb="FFD9D9D9"/>
      </patternFill>
    </fill>
    <fill>
      <patternFill patternType="solid">
        <fgColor rgb="FFFFF2CC"/>
        <bgColor rgb="FFFFF2CC"/>
      </patternFill>
    </fill>
  </fills>
  <borders count="29">
    <border/>
    <border>
      <left style="medium">
        <color rgb="FF000000"/>
      </left>
      <top style="medium">
        <color rgb="FF000000"/>
      </top>
    </border>
    <border>
      <right style="medium">
        <color rgb="FF000000"/>
      </right>
      <top style="medium">
        <color rgb="FF000000"/>
      </top>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right style="medium">
        <color rgb="FF000000"/>
      </right>
      <top style="thin">
        <color rgb="FF000000"/>
      </top>
    </border>
    <border>
      <left style="medium">
        <color rgb="FF000000"/>
      </left>
      <bottom style="medium">
        <color rgb="FF000000"/>
      </bottom>
    </border>
    <border>
      <right style="medium">
        <color rgb="FF000000"/>
      </right>
      <bottom style="medium">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0" fillId="0" fontId="1" numFmtId="0" xfId="0" applyAlignment="1" applyFont="1">
      <alignment horizontal="center" shrinkToFit="0" vertical="top" wrapText="1"/>
    </xf>
    <xf borderId="0" fillId="3" fontId="2" numFmtId="0" xfId="0" applyAlignment="1" applyFill="1" applyFont="1">
      <alignment vertical="top"/>
    </xf>
    <xf borderId="0" fillId="0" fontId="2" numFmtId="0" xfId="0" applyFont="1"/>
    <xf borderId="0" fillId="0" fontId="3" numFmtId="164" xfId="0" applyAlignment="1" applyFont="1" applyNumberFormat="1">
      <alignment horizontal="center" shrinkToFit="0" vertical="top" wrapText="1"/>
    </xf>
    <xf borderId="0" fillId="3" fontId="2" numFmtId="10" xfId="0" applyAlignment="1" applyFont="1" applyNumberFormat="1">
      <alignment vertical="top"/>
    </xf>
    <xf borderId="0" fillId="3" fontId="4" numFmtId="0" xfId="0" applyAlignment="1" applyFont="1">
      <alignment vertical="top"/>
    </xf>
    <xf borderId="1" fillId="4" fontId="5" numFmtId="3" xfId="0" applyAlignment="1" applyBorder="1" applyFill="1" applyFont="1" applyNumberFormat="1">
      <alignment horizontal="left" vertical="center"/>
    </xf>
    <xf borderId="2" fillId="4" fontId="5" numFmtId="164" xfId="0" applyAlignment="1" applyBorder="1" applyFont="1" applyNumberFormat="1">
      <alignment horizontal="right" vertical="center"/>
    </xf>
    <xf borderId="3" fillId="4" fontId="5" numFmtId="0" xfId="0" applyAlignment="1" applyBorder="1" applyFont="1">
      <alignment horizontal="left" readingOrder="0" vertical="center"/>
    </xf>
    <xf borderId="4" fillId="4" fontId="5" numFmtId="3" xfId="0" applyAlignment="1" applyBorder="1" applyFont="1" applyNumberFormat="1">
      <alignment horizontal="right" vertical="center"/>
    </xf>
    <xf borderId="5" fillId="0" fontId="6" numFmtId="0" xfId="0" applyBorder="1" applyFont="1"/>
    <xf borderId="6" fillId="0" fontId="6" numFmtId="0" xfId="0" applyBorder="1" applyFont="1"/>
    <xf borderId="7" fillId="4" fontId="5" numFmtId="0" xfId="0" applyAlignment="1" applyBorder="1" applyFont="1">
      <alignment horizontal="left" vertical="center"/>
    </xf>
    <xf borderId="8" fillId="4" fontId="5" numFmtId="3" xfId="0" applyAlignment="1" applyBorder="1" applyFont="1" applyNumberFormat="1">
      <alignment horizontal="right" vertical="center"/>
    </xf>
    <xf borderId="9" fillId="4" fontId="5" numFmtId="3" xfId="0" applyAlignment="1" applyBorder="1" applyFont="1" applyNumberFormat="1">
      <alignment horizontal="left" vertical="center"/>
    </xf>
    <xf borderId="10" fillId="4" fontId="5" numFmtId="164" xfId="0" applyAlignment="1" applyBorder="1" applyFont="1" applyNumberFormat="1">
      <alignment horizontal="right" vertical="center"/>
    </xf>
    <xf borderId="7" fillId="4" fontId="5" numFmtId="0" xfId="0" applyAlignment="1" applyBorder="1" applyFont="1">
      <alignment horizontal="left" readingOrder="0" vertical="center"/>
    </xf>
    <xf borderId="8" fillId="4" fontId="5" numFmtId="165" xfId="0" applyAlignment="1" applyBorder="1" applyFont="1" applyNumberFormat="1">
      <alignment horizontal="right" readingOrder="0" vertical="center"/>
    </xf>
    <xf borderId="11" fillId="0" fontId="6" numFmtId="0" xfId="0" applyBorder="1" applyFont="1"/>
    <xf borderId="12" fillId="0" fontId="6" numFmtId="0" xfId="0" applyBorder="1" applyFont="1"/>
    <xf borderId="13" fillId="4" fontId="5" numFmtId="0" xfId="0" applyAlignment="1" applyBorder="1" applyFont="1">
      <alignment horizontal="left" readingOrder="0" vertical="center"/>
    </xf>
    <xf borderId="14" fillId="4" fontId="5" numFmtId="165" xfId="0" applyAlignment="1" applyBorder="1" applyFont="1" applyNumberFormat="1">
      <alignment horizontal="right" readingOrder="0" vertical="center"/>
    </xf>
    <xf borderId="0" fillId="0" fontId="2" numFmtId="0" xfId="0" applyAlignment="1" applyFont="1">
      <alignment horizontal="left"/>
    </xf>
    <xf borderId="15" fillId="4" fontId="3" numFmtId="0" xfId="0" applyAlignment="1" applyBorder="1" applyFont="1">
      <alignment horizontal="center" shrinkToFit="0" vertical="top" wrapText="1"/>
    </xf>
    <xf borderId="16" fillId="5" fontId="7" numFmtId="0" xfId="0" applyAlignment="1" applyBorder="1" applyFill="1" applyFont="1">
      <alignment horizontal="center" shrinkToFit="0" vertical="top" wrapText="1"/>
    </xf>
    <xf borderId="17" fillId="6" fontId="7" numFmtId="3" xfId="0" applyAlignment="1" applyBorder="1" applyFill="1" applyFont="1" applyNumberFormat="1">
      <alignment horizontal="center" readingOrder="0" vertical="top"/>
    </xf>
    <xf borderId="0" fillId="0" fontId="4" numFmtId="0" xfId="0" applyAlignment="1" applyFont="1">
      <alignment readingOrder="0"/>
    </xf>
    <xf borderId="0" fillId="3" fontId="2" numFmtId="4" xfId="0" applyAlignment="1" applyFont="1" applyNumberFormat="1">
      <alignment readingOrder="0" vertical="top"/>
    </xf>
    <xf borderId="16" fillId="5" fontId="3" numFmtId="3" xfId="0" applyAlignment="1" applyBorder="1" applyFont="1" applyNumberFormat="1">
      <alignment horizontal="center" vertical="top"/>
    </xf>
    <xf borderId="0" fillId="3" fontId="2" numFmtId="0" xfId="0" applyAlignment="1" applyFont="1">
      <alignment readingOrder="0" vertical="top"/>
    </xf>
    <xf borderId="18" fillId="4" fontId="3" numFmtId="0" xfId="0" applyAlignment="1" applyBorder="1" applyFont="1">
      <alignment horizontal="center" readingOrder="0" shrinkToFit="0" vertical="top" wrapText="1"/>
    </xf>
    <xf borderId="18" fillId="4" fontId="3" numFmtId="166" xfId="0" applyAlignment="1" applyBorder="1" applyFont="1" applyNumberFormat="1">
      <alignment horizontal="center" shrinkToFit="0" vertical="top" wrapText="1"/>
    </xf>
    <xf borderId="0" fillId="3" fontId="8" numFmtId="0" xfId="0" applyAlignment="1" applyFont="1">
      <alignment shrinkToFit="0" vertical="top" wrapText="1"/>
    </xf>
    <xf borderId="0" fillId="3" fontId="9" numFmtId="0" xfId="0" applyFont="1"/>
    <xf borderId="0" fillId="2" fontId="3" numFmtId="0" xfId="0" applyAlignment="1" applyFont="1">
      <alignment horizontal="center" vertical="center"/>
    </xf>
    <xf borderId="0" fillId="2" fontId="3" numFmtId="0" xfId="0" applyAlignment="1" applyFont="1">
      <alignment horizontal="center" shrinkToFit="0" vertical="center" wrapText="1"/>
    </xf>
    <xf borderId="0" fillId="2" fontId="3" numFmtId="0" xfId="0" applyAlignment="1" applyFont="1">
      <alignment horizontal="center" readingOrder="0" vertical="center"/>
    </xf>
    <xf borderId="0" fillId="2" fontId="10" numFmtId="0" xfId="0" applyAlignment="1" applyFont="1">
      <alignment horizontal="center" shrinkToFit="0" vertical="top" wrapText="1"/>
    </xf>
    <xf borderId="0" fillId="5" fontId="7" numFmtId="0" xfId="0" applyAlignment="1" applyFont="1">
      <alignment horizontal="center" readingOrder="0" vertical="center"/>
    </xf>
    <xf borderId="0" fillId="5" fontId="7" numFmtId="0" xfId="0" applyAlignment="1" applyFont="1">
      <alignment horizontal="center" readingOrder="0" shrinkToFit="0" vertical="center" wrapText="1"/>
    </xf>
    <xf borderId="0" fillId="5" fontId="7" numFmtId="9" xfId="0" applyAlignment="1" applyFont="1" applyNumberFormat="1">
      <alignment horizontal="center" readingOrder="0" vertical="center"/>
    </xf>
    <xf borderId="0" fillId="5" fontId="7" numFmtId="3" xfId="0" applyAlignment="1" applyFont="1" applyNumberFormat="1">
      <alignment horizontal="center" vertical="center"/>
    </xf>
    <xf borderId="0" fillId="5" fontId="7" numFmtId="165" xfId="0" applyAlignment="1" applyFont="1" applyNumberFormat="1">
      <alignment horizontal="center" vertical="center"/>
    </xf>
    <xf borderId="0" fillId="5" fontId="7" numFmtId="164" xfId="0" applyAlignment="1" applyFont="1" applyNumberFormat="1">
      <alignment horizontal="center" vertical="center"/>
    </xf>
    <xf borderId="0" fillId="0" fontId="11" numFmtId="0" xfId="0" applyAlignment="1" applyFont="1">
      <alignment readingOrder="0" shrinkToFit="0" vertical="top" wrapText="1"/>
    </xf>
    <xf borderId="0" fillId="5" fontId="7" numFmtId="0" xfId="0" applyAlignment="1" applyFont="1">
      <alignment horizontal="center" shrinkToFit="0" vertical="center" wrapText="1"/>
    </xf>
    <xf borderId="0" fillId="0" fontId="11" numFmtId="0" xfId="0" applyAlignment="1" applyFont="1">
      <alignment shrinkToFit="0" vertical="top" wrapText="1"/>
    </xf>
    <xf borderId="0" fillId="2" fontId="3" numFmtId="3" xfId="0" applyAlignment="1" applyFont="1" applyNumberFormat="1">
      <alignment horizontal="center" vertical="center"/>
    </xf>
    <xf borderId="0" fillId="2" fontId="3" numFmtId="164" xfId="0" applyAlignment="1" applyFont="1" applyNumberFormat="1">
      <alignment horizontal="center" vertical="center"/>
    </xf>
    <xf borderId="0" fillId="3" fontId="8" numFmtId="0" xfId="0" applyAlignment="1" applyFont="1">
      <alignment vertical="top"/>
    </xf>
    <xf borderId="0" fillId="2" fontId="3" numFmtId="164" xfId="0" applyAlignment="1" applyFont="1" applyNumberFormat="1">
      <alignment horizontal="center" vertical="center"/>
    </xf>
    <xf borderId="16" fillId="5" fontId="7" numFmtId="0" xfId="0" applyAlignment="1" applyBorder="1" applyFont="1">
      <alignment horizontal="center" readingOrder="0" shrinkToFit="0" vertical="top" wrapText="1"/>
    </xf>
    <xf borderId="0" fillId="3" fontId="2" numFmtId="3" xfId="0" applyAlignment="1" applyFont="1" applyNumberFormat="1">
      <alignment readingOrder="0" vertical="top"/>
    </xf>
    <xf borderId="16" fillId="5" fontId="7" numFmtId="167" xfId="0" applyAlignment="1" applyBorder="1" applyFont="1" applyNumberFormat="1">
      <alignment horizontal="center" readingOrder="0" vertical="top"/>
    </xf>
    <xf borderId="0" fillId="5" fontId="7" numFmtId="0" xfId="0" applyAlignment="1" applyFont="1">
      <alignment horizontal="center" vertical="center"/>
    </xf>
    <xf borderId="0" fillId="3" fontId="2" numFmtId="0" xfId="0" applyAlignment="1" applyFont="1">
      <alignment shrinkToFit="0" vertical="top" wrapText="1"/>
    </xf>
    <xf borderId="17" fillId="4" fontId="3" numFmtId="0" xfId="0" applyAlignment="1" applyBorder="1" applyFont="1">
      <alignment horizontal="center" shrinkToFit="0" vertical="top" wrapText="1"/>
    </xf>
    <xf borderId="19" fillId="6" fontId="7" numFmtId="3" xfId="0" applyAlignment="1" applyBorder="1" applyFont="1" applyNumberFormat="1">
      <alignment horizontal="center" readingOrder="0" vertical="top"/>
    </xf>
    <xf borderId="20" fillId="5" fontId="3" numFmtId="3" xfId="0" applyAlignment="1" applyBorder="1" applyFont="1" applyNumberFormat="1">
      <alignment horizontal="center" vertical="top"/>
    </xf>
    <xf borderId="20" fillId="5" fontId="7" numFmtId="0" xfId="0" applyAlignment="1" applyBorder="1" applyFont="1">
      <alignment horizontal="center" shrinkToFit="0" vertical="top" wrapText="1"/>
    </xf>
    <xf borderId="21" fillId="4" fontId="3" numFmtId="166" xfId="0" applyAlignment="1" applyBorder="1" applyFont="1" applyNumberFormat="1">
      <alignment horizontal="center" shrinkToFit="0" vertical="top" wrapText="1"/>
    </xf>
    <xf borderId="0" fillId="5" fontId="8" numFmtId="0" xfId="0" applyAlignment="1" applyFont="1">
      <alignment horizontal="center" readingOrder="0" shrinkToFit="0" vertical="center" wrapText="1"/>
    </xf>
    <xf borderId="0" fillId="3" fontId="4" numFmtId="9" xfId="0" applyAlignment="1" applyFont="1" applyNumberFormat="1">
      <alignment vertical="top"/>
    </xf>
    <xf borderId="0" fillId="5" fontId="8" numFmtId="0" xfId="0" applyAlignment="1" applyFont="1">
      <alignment horizontal="center" shrinkToFit="0" vertical="center" wrapText="1"/>
    </xf>
    <xf borderId="20" fillId="6" fontId="7" numFmtId="3" xfId="0" applyAlignment="1" applyBorder="1" applyFont="1" applyNumberFormat="1">
      <alignment horizontal="center" readingOrder="0" vertical="top"/>
    </xf>
    <xf borderId="15" fillId="4" fontId="3" numFmtId="0" xfId="0" applyAlignment="1" applyBorder="1" applyFont="1">
      <alignment horizontal="center" readingOrder="0" shrinkToFit="0" vertical="top" wrapText="1"/>
    </xf>
    <xf borderId="22" fillId="5" fontId="7" numFmtId="0" xfId="0" applyAlignment="1" applyBorder="1" applyFont="1">
      <alignment horizontal="center" shrinkToFit="0" vertical="top" wrapText="1"/>
    </xf>
    <xf borderId="17" fillId="5" fontId="7" numFmtId="3" xfId="0" applyAlignment="1" applyBorder="1" applyFont="1" applyNumberFormat="1">
      <alignment horizontal="center" readingOrder="0" vertical="top"/>
    </xf>
    <xf borderId="16" fillId="5" fontId="7" numFmtId="3" xfId="0" applyAlignment="1" applyBorder="1" applyFont="1" applyNumberFormat="1">
      <alignment horizontal="center" readingOrder="0" vertical="top"/>
    </xf>
    <xf borderId="23" fillId="4" fontId="3" numFmtId="0" xfId="0" applyAlignment="1" applyBorder="1" applyFont="1">
      <alignment horizontal="center" shrinkToFit="0" vertical="top" wrapText="1"/>
    </xf>
    <xf borderId="18" fillId="4" fontId="3" numFmtId="168" xfId="0" applyAlignment="1" applyBorder="1" applyFont="1" applyNumberFormat="1">
      <alignment horizontal="center" shrinkToFit="0" vertical="top" wrapText="1"/>
    </xf>
    <xf borderId="0" fillId="5" fontId="7" numFmtId="164" xfId="0" applyAlignment="1" applyFont="1" applyNumberFormat="1">
      <alignment horizontal="center" readingOrder="0" vertical="center"/>
    </xf>
    <xf borderId="0" fillId="5" fontId="7" numFmtId="168" xfId="0" applyAlignment="1" applyFont="1" applyNumberFormat="1">
      <alignment horizontal="center" readingOrder="0" vertical="center"/>
    </xf>
    <xf borderId="0" fillId="5" fontId="7" numFmtId="168" xfId="0" applyAlignment="1" applyFont="1" applyNumberFormat="1">
      <alignment horizontal="center" vertical="center"/>
    </xf>
    <xf borderId="0" fillId="5" fontId="8" numFmtId="0" xfId="0" applyAlignment="1" applyFont="1">
      <alignment readingOrder="0" shrinkToFit="0" wrapText="1"/>
    </xf>
    <xf borderId="0" fillId="5" fontId="7" numFmtId="9" xfId="0" applyAlignment="1" applyFont="1" applyNumberFormat="1">
      <alignment horizontal="center" vertical="center"/>
    </xf>
    <xf borderId="0" fillId="5" fontId="8" numFmtId="0" xfId="0" applyAlignment="1" applyFont="1">
      <alignment shrinkToFit="0" wrapText="1"/>
    </xf>
    <xf borderId="0" fillId="5" fontId="7" numFmtId="164" xfId="0" applyAlignment="1" applyFont="1" applyNumberFormat="1">
      <alignment horizontal="center" vertical="center"/>
    </xf>
    <xf borderId="0" fillId="3" fontId="2" numFmtId="0" xfId="0" applyAlignment="1" applyFont="1">
      <alignment shrinkToFit="0" wrapText="1"/>
    </xf>
    <xf borderId="24" fillId="4" fontId="5" numFmtId="0" xfId="0" applyAlignment="1" applyBorder="1" applyFont="1">
      <alignment horizontal="left" vertical="center"/>
    </xf>
    <xf borderId="25" fillId="0" fontId="6" numFmtId="0" xfId="0" applyBorder="1" applyFont="1"/>
    <xf borderId="15" fillId="4" fontId="5" numFmtId="3" xfId="0" applyAlignment="1" applyBorder="1" applyFont="1" applyNumberFormat="1">
      <alignment horizontal="center" vertical="center"/>
    </xf>
    <xf borderId="0" fillId="0" fontId="12" numFmtId="0" xfId="0" applyFont="1"/>
    <xf borderId="24" fillId="4" fontId="5" numFmtId="3" xfId="0" applyAlignment="1" applyBorder="1" applyFont="1" applyNumberFormat="1">
      <alignment horizontal="left" vertical="center"/>
    </xf>
    <xf borderId="15" fillId="4" fontId="5" numFmtId="164" xfId="0" applyAlignment="1" applyBorder="1" applyFont="1" applyNumberFormat="1">
      <alignment horizontal="center" vertical="center"/>
    </xf>
    <xf borderId="15" fillId="4" fontId="5" numFmtId="164" xfId="0" applyAlignment="1" applyBorder="1" applyFont="1" applyNumberFormat="1">
      <alignment horizontal="center" vertical="center"/>
    </xf>
    <xf borderId="0" fillId="0" fontId="2" numFmtId="0" xfId="0" applyAlignment="1" applyFont="1">
      <alignment shrinkToFit="0" vertical="top" wrapText="1"/>
    </xf>
    <xf borderId="0" fillId="0" fontId="2" numFmtId="0" xfId="0" applyAlignment="1" applyFont="1">
      <alignment horizontal="center" vertical="top"/>
    </xf>
    <xf borderId="0" fillId="0" fontId="2" numFmtId="0" xfId="0" applyAlignment="1" applyFont="1">
      <alignment vertical="top"/>
    </xf>
    <xf borderId="26" fillId="7" fontId="13" numFmtId="0" xfId="0" applyAlignment="1" applyBorder="1" applyFill="1" applyFont="1">
      <alignment horizontal="center" readingOrder="0" vertical="center"/>
    </xf>
    <xf borderId="27" fillId="0" fontId="6" numFmtId="0" xfId="0" applyBorder="1" applyFont="1"/>
    <xf borderId="19" fillId="0" fontId="6" numFmtId="0" xfId="0" applyBorder="1" applyFont="1"/>
    <xf borderId="23" fillId="0" fontId="6" numFmtId="0" xfId="0" applyBorder="1" applyFont="1"/>
    <xf borderId="28" fillId="0" fontId="6" numFmtId="0" xfId="0" applyBorder="1" applyFont="1"/>
    <xf borderId="21" fillId="0" fontId="6" numFmtId="0" xfId="0" applyBorder="1" applyFont="1"/>
    <xf borderId="23" fillId="8" fontId="14" numFmtId="0" xfId="0" applyAlignment="1" applyBorder="1" applyFill="1" applyFont="1">
      <alignment horizontal="center" vertical="top"/>
    </xf>
    <xf borderId="21" fillId="8" fontId="14" numFmtId="0" xfId="0" applyAlignment="1" applyBorder="1" applyFont="1">
      <alignment horizontal="center" vertical="top"/>
    </xf>
    <xf borderId="28" fillId="0" fontId="2" numFmtId="0" xfId="0" applyBorder="1" applyFont="1"/>
    <xf borderId="22" fillId="7" fontId="14" numFmtId="0" xfId="0" applyAlignment="1" applyBorder="1" applyFont="1">
      <alignment horizontal="center" vertical="center"/>
    </xf>
    <xf borderId="20" fillId="0" fontId="6" numFmtId="0" xfId="0" applyBorder="1" applyFont="1"/>
    <xf borderId="21" fillId="0" fontId="8" numFmtId="0" xfId="0" applyAlignment="1" applyBorder="1" applyFont="1">
      <alignment horizontal="center" shrinkToFit="0" vertical="center" wrapText="1"/>
    </xf>
    <xf borderId="21" fillId="9" fontId="8" numFmtId="9" xfId="0" applyAlignment="1" applyBorder="1" applyFill="1" applyFont="1" applyNumberFormat="1">
      <alignment horizontal="center" readingOrder="0" vertical="center"/>
    </xf>
    <xf borderId="21" fillId="4" fontId="8" numFmtId="9" xfId="0" applyAlignment="1" applyBorder="1" applyFont="1" applyNumberFormat="1">
      <alignment horizontal="center" vertical="center"/>
    </xf>
    <xf borderId="0" fillId="7" fontId="14" numFmtId="0" xfId="0" applyAlignment="1" applyFont="1">
      <alignment readingOrder="0" shrinkToFit="0" vertical="top" wrapText="1"/>
    </xf>
    <xf borderId="21" fillId="9" fontId="8" numFmtId="169" xfId="0" applyAlignment="1" applyBorder="1" applyFont="1" applyNumberFormat="1">
      <alignment horizontal="center" readingOrder="0" vertical="center"/>
    </xf>
    <xf borderId="28" fillId="0" fontId="4" numFmtId="0" xfId="0" applyAlignment="1" applyBorder="1" applyFont="1">
      <alignment vertical="center"/>
    </xf>
    <xf borderId="28" fillId="0" fontId="4" numFmtId="0" xfId="0" applyAlignment="1" applyBorder="1" applyFont="1">
      <alignment vertical="center"/>
    </xf>
    <xf borderId="0" fillId="0" fontId="4" numFmtId="0" xfId="0" applyAlignment="1" applyFont="1">
      <alignment vertical="bottom"/>
    </xf>
    <xf borderId="0" fillId="0" fontId="4" numFmtId="0" xfId="0" applyAlignment="1" applyFont="1">
      <alignment horizontal="right" vertical="bottom"/>
    </xf>
    <xf borderId="0" fillId="0" fontId="4" numFmtId="17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7.25"/>
    <col customWidth="1" min="2" max="2" width="36.63"/>
    <col customWidth="1" min="3" max="3" width="26.0"/>
    <col customWidth="1" min="4" max="4" width="17.75"/>
    <col customWidth="1" min="5" max="5" width="20.13"/>
    <col customWidth="1" min="6" max="6" width="15.75"/>
    <col customWidth="1" min="7" max="7" width="14.63"/>
    <col customWidth="1" min="8" max="8" width="15.88"/>
    <col customWidth="1" min="9" max="9" width="52.13"/>
    <col customWidth="1" min="10" max="10" width="30.5"/>
    <col customWidth="1" min="11" max="11" width="34.13"/>
    <col customWidth="1" min="12" max="14" width="11.88"/>
    <col customWidth="1" hidden="1" min="15" max="15" width="11.88"/>
  </cols>
  <sheetData>
    <row r="1">
      <c r="A1" s="1"/>
      <c r="J1" s="2"/>
      <c r="K1" s="2"/>
      <c r="L1" s="3"/>
      <c r="M1" s="4"/>
      <c r="N1" s="4"/>
      <c r="O1" s="4"/>
    </row>
    <row r="2" ht="21.75" customHeight="1">
      <c r="A2" s="1" t="s">
        <v>0</v>
      </c>
      <c r="J2" s="2"/>
      <c r="K2" s="2"/>
      <c r="L2" s="3" t="s">
        <v>1</v>
      </c>
      <c r="M2" s="4"/>
      <c r="N2" s="4"/>
      <c r="O2" s="4"/>
    </row>
    <row r="3">
      <c r="A3" s="5"/>
      <c r="B3" s="5"/>
      <c r="C3" s="3"/>
      <c r="E3" s="6"/>
      <c r="F3" s="3"/>
      <c r="G3" s="3"/>
      <c r="K3" s="7"/>
      <c r="L3" s="7"/>
    </row>
    <row r="4">
      <c r="A4" s="5"/>
      <c r="B4" s="8" t="s">
        <v>2</v>
      </c>
      <c r="C4" s="9">
        <f>ROUND(G81, 2)</f>
        <v>2610.77</v>
      </c>
      <c r="E4" s="10" t="s">
        <v>3</v>
      </c>
      <c r="F4" s="11">
        <f>sum(D21,D32,D45)</f>
        <v>1371.73</v>
      </c>
      <c r="G4" s="3"/>
      <c r="K4" s="7"/>
      <c r="L4" s="7"/>
    </row>
    <row r="5">
      <c r="A5" s="5"/>
      <c r="B5" s="12"/>
      <c r="C5" s="13"/>
      <c r="E5" s="14" t="s">
        <v>4</v>
      </c>
      <c r="F5" s="15">
        <f>G80</f>
        <v>90.341</v>
      </c>
      <c r="G5" s="3"/>
      <c r="K5" s="7"/>
      <c r="L5" s="7"/>
    </row>
    <row r="6">
      <c r="A6" s="5"/>
      <c r="B6" s="16" t="s">
        <v>5</v>
      </c>
      <c r="C6" s="17">
        <f>ROUND(G82, 2)</f>
        <v>31329.24</v>
      </c>
      <c r="E6" s="18" t="s">
        <v>6</v>
      </c>
      <c r="F6" s="19">
        <v>0.95</v>
      </c>
      <c r="G6" s="3"/>
      <c r="K6" s="7"/>
      <c r="L6" s="7"/>
    </row>
    <row r="7">
      <c r="A7" s="5"/>
      <c r="B7" s="20"/>
      <c r="C7" s="21"/>
      <c r="E7" s="22" t="s">
        <v>7</v>
      </c>
      <c r="F7" s="23">
        <f>C6/365/F4</f>
        <v>0.06257319899</v>
      </c>
      <c r="G7" s="3"/>
      <c r="K7" s="7"/>
      <c r="L7" s="7"/>
    </row>
    <row r="8">
      <c r="A8" s="5"/>
      <c r="C8" s="24"/>
      <c r="E8" s="6"/>
      <c r="F8" s="3"/>
      <c r="G8" s="3"/>
      <c r="K8" s="7"/>
      <c r="L8" s="7"/>
    </row>
    <row r="9" ht="21.75" customHeight="1">
      <c r="A9" s="1" t="s">
        <v>8</v>
      </c>
      <c r="J9" s="2"/>
      <c r="K9" s="2"/>
      <c r="L9" s="3" t="s">
        <v>1</v>
      </c>
      <c r="M9" s="4"/>
      <c r="N9" s="4"/>
      <c r="O9" s="4"/>
    </row>
    <row r="10">
      <c r="A10" s="5"/>
      <c r="B10" s="5"/>
      <c r="C10" s="3"/>
      <c r="E10" s="6"/>
      <c r="F10" s="3"/>
      <c r="G10" s="3"/>
      <c r="K10" s="7"/>
      <c r="L10" s="7"/>
    </row>
    <row r="11">
      <c r="A11" s="25" t="s">
        <v>9</v>
      </c>
      <c r="B11" s="5"/>
      <c r="C11" s="3"/>
      <c r="E11" s="6"/>
      <c r="F11" s="3"/>
      <c r="G11" s="3"/>
      <c r="K11" s="7"/>
      <c r="L11" s="7"/>
    </row>
    <row r="12">
      <c r="A12" s="26" t="s">
        <v>10</v>
      </c>
      <c r="B12" s="27">
        <v>7.0</v>
      </c>
      <c r="C12" s="3"/>
      <c r="D12" s="28"/>
      <c r="E12" s="29"/>
      <c r="F12" s="3"/>
      <c r="G12" s="3"/>
      <c r="K12" s="7"/>
      <c r="L12" s="7"/>
    </row>
    <row r="13">
      <c r="A13" s="26" t="s">
        <v>11</v>
      </c>
      <c r="B13" s="30" t="s">
        <v>12</v>
      </c>
      <c r="C13" s="31"/>
      <c r="D13" s="31"/>
      <c r="E13" s="3"/>
      <c r="F13" s="3"/>
      <c r="G13" s="6"/>
      <c r="H13" s="6"/>
      <c r="I13" s="6"/>
      <c r="J13" s="7"/>
      <c r="K13" s="7"/>
      <c r="L13" s="7"/>
    </row>
    <row r="14">
      <c r="A14" s="26" t="s">
        <v>13</v>
      </c>
      <c r="B14" s="26">
        <v>7.0</v>
      </c>
      <c r="C14" s="31"/>
      <c r="D14" s="31"/>
      <c r="E14" s="3"/>
      <c r="F14" s="3"/>
      <c r="G14" s="6"/>
      <c r="H14" s="6"/>
      <c r="I14" s="6"/>
      <c r="J14" s="7"/>
      <c r="K14" s="7"/>
    </row>
    <row r="15">
      <c r="A15" s="32" t="s">
        <v>14</v>
      </c>
      <c r="B15" s="33">
        <f>G21/B12/30.42</f>
        <v>0.7599793369</v>
      </c>
      <c r="C15" s="31"/>
      <c r="D15" s="31"/>
      <c r="E15" s="3"/>
      <c r="F15" s="3"/>
      <c r="G15" s="3"/>
      <c r="H15" s="6"/>
      <c r="I15" s="6"/>
      <c r="K15" s="7"/>
    </row>
    <row r="16">
      <c r="E16" s="34"/>
      <c r="F16" s="34"/>
      <c r="G16" s="35"/>
      <c r="H16" s="3"/>
      <c r="I16" s="3"/>
      <c r="K16" s="3"/>
      <c r="M16" s="4"/>
      <c r="N16" s="4"/>
      <c r="O16" s="4"/>
    </row>
    <row r="17">
      <c r="A17" s="36" t="s">
        <v>15</v>
      </c>
      <c r="B17" s="36" t="s">
        <v>16</v>
      </c>
      <c r="C17" s="37" t="s">
        <v>17</v>
      </c>
      <c r="D17" s="38" t="s">
        <v>18</v>
      </c>
      <c r="E17" s="38" t="s">
        <v>19</v>
      </c>
      <c r="F17" s="36" t="s">
        <v>20</v>
      </c>
      <c r="G17" s="36" t="s">
        <v>21</v>
      </c>
      <c r="H17" s="36" t="s">
        <v>4</v>
      </c>
      <c r="I17" s="39" t="s">
        <v>15</v>
      </c>
      <c r="N17" s="4"/>
    </row>
    <row r="18">
      <c r="A18" s="40" t="s">
        <v>22</v>
      </c>
      <c r="B18" s="41" t="s">
        <v>23</v>
      </c>
      <c r="C18" s="42">
        <v>0.0</v>
      </c>
      <c r="D18" s="43">
        <f t="shared" ref="D18:D20" si="1">C18*$B$12</f>
        <v>0</v>
      </c>
      <c r="E18" s="42">
        <v>0.88</v>
      </c>
      <c r="F18" s="44">
        <f t="shared" ref="F18:F20" si="2">$F$6*(1-E18)</f>
        <v>0.114</v>
      </c>
      <c r="G18" s="45">
        <f t="shared" ref="G18:G20" si="3">round(D18*F18*30.42,2)</f>
        <v>0</v>
      </c>
      <c r="H18" s="43">
        <f t="shared" ref="H18:H20" si="4">D18*(1-E18)</f>
        <v>0</v>
      </c>
      <c r="I18" s="46" t="s">
        <v>24</v>
      </c>
      <c r="N18" s="4"/>
    </row>
    <row r="19">
      <c r="A19" s="40" t="s">
        <v>25</v>
      </c>
      <c r="B19" s="47" t="str">
        <f>"+ Alerting
Loggregation (ML-clustering)
Flow anomalies
Monitoring Dashboards"</f>
        <v>+ Alerting
Loggregation (ML-clustering)
Flow anomalies
Monitoring Dashboards</v>
      </c>
      <c r="C19" s="42">
        <v>0.0</v>
      </c>
      <c r="D19" s="43">
        <f t="shared" si="1"/>
        <v>0</v>
      </c>
      <c r="E19" s="42">
        <v>0.68</v>
      </c>
      <c r="F19" s="44">
        <f t="shared" si="2"/>
        <v>0.304</v>
      </c>
      <c r="G19" s="45">
        <f t="shared" si="3"/>
        <v>0</v>
      </c>
      <c r="H19" s="43">
        <f t="shared" si="4"/>
        <v>0</v>
      </c>
      <c r="I19" s="48" t="s">
        <v>26</v>
      </c>
      <c r="N19" s="4"/>
    </row>
    <row r="20">
      <c r="A20" s="40" t="s">
        <v>27</v>
      </c>
      <c r="B20" s="47" t="str">
        <f>"+ Lightning-fast Queries,
Dashboards"</f>
        <v>+ Lightning-fast Queries,
Dashboards</v>
      </c>
      <c r="C20" s="42">
        <v>1.0</v>
      </c>
      <c r="D20" s="43">
        <f t="shared" si="1"/>
        <v>7</v>
      </c>
      <c r="E20" s="42">
        <v>0.2</v>
      </c>
      <c r="F20" s="44">
        <f t="shared" si="2"/>
        <v>0.76</v>
      </c>
      <c r="G20" s="45">
        <f t="shared" si="3"/>
        <v>161.83</v>
      </c>
      <c r="H20" s="43">
        <f t="shared" si="4"/>
        <v>5.6</v>
      </c>
      <c r="I20" s="48" t="s">
        <v>28</v>
      </c>
      <c r="N20" s="4"/>
    </row>
    <row r="21">
      <c r="A21" s="34"/>
      <c r="B21" s="34"/>
      <c r="C21" s="34"/>
      <c r="D21" s="49">
        <f>sum(D18:D20)</f>
        <v>7</v>
      </c>
      <c r="E21" s="3"/>
      <c r="F21" s="36" t="s">
        <v>29</v>
      </c>
      <c r="G21" s="50">
        <f>round(SUM(G18:G20),2)</f>
        <v>161.83</v>
      </c>
      <c r="H21" s="49">
        <f>SUM(H18:H20)</f>
        <v>5.6</v>
      </c>
      <c r="I21" s="48"/>
      <c r="N21" s="4"/>
    </row>
    <row r="22">
      <c r="A22" s="3"/>
      <c r="B22" s="3"/>
      <c r="C22" s="51"/>
      <c r="D22" s="51"/>
      <c r="E22" s="3"/>
      <c r="F22" s="36" t="s">
        <v>30</v>
      </c>
      <c r="G22" s="52">
        <f>round(G21*12,2)</f>
        <v>1941.96</v>
      </c>
      <c r="H22" s="3"/>
      <c r="I22" s="48"/>
      <c r="N22" s="4"/>
    </row>
    <row r="23">
      <c r="A23" s="3"/>
      <c r="B23" s="3"/>
      <c r="C23" s="51"/>
      <c r="D23" s="51"/>
      <c r="E23" s="51"/>
      <c r="F23" s="51"/>
      <c r="G23" s="3"/>
      <c r="H23" s="48"/>
      <c r="I23" s="48"/>
      <c r="M23" s="4"/>
    </row>
    <row r="24">
      <c r="A24" s="25" t="s">
        <v>31</v>
      </c>
      <c r="B24" s="5"/>
      <c r="C24" s="3"/>
      <c r="D24" s="3"/>
      <c r="E24" s="3"/>
      <c r="F24" s="3"/>
      <c r="G24" s="6"/>
      <c r="H24" s="48"/>
      <c r="I24" s="48"/>
      <c r="M24" s="4"/>
    </row>
    <row r="25">
      <c r="A25" s="53" t="s">
        <v>32</v>
      </c>
      <c r="B25" s="27">
        <v>1227000.0</v>
      </c>
      <c r="C25" s="54"/>
      <c r="D25" s="31"/>
      <c r="E25" s="3"/>
      <c r="F25" s="3"/>
      <c r="G25" s="3"/>
      <c r="L25" s="3"/>
      <c r="M25" s="4"/>
    </row>
    <row r="26">
      <c r="A26" s="53" t="s">
        <v>33</v>
      </c>
      <c r="B26" s="55">
        <v>60.0</v>
      </c>
      <c r="C26" s="3"/>
      <c r="D26" s="3"/>
      <c r="E26" s="3"/>
      <c r="F26" s="3"/>
      <c r="G26" s="3"/>
      <c r="H26" s="48"/>
      <c r="I26" s="48"/>
      <c r="L26" s="3"/>
      <c r="M26" s="4"/>
    </row>
    <row r="27">
      <c r="A27" s="26" t="s">
        <v>11</v>
      </c>
      <c r="B27" s="30" t="s">
        <v>12</v>
      </c>
      <c r="C27" s="3"/>
      <c r="D27" s="3"/>
      <c r="E27" s="3"/>
      <c r="F27" s="3"/>
      <c r="G27" s="3"/>
      <c r="H27" s="48"/>
      <c r="I27" s="48"/>
      <c r="L27" s="3"/>
      <c r="M27" s="4"/>
    </row>
    <row r="28">
      <c r="A28" s="32" t="s">
        <v>14</v>
      </c>
      <c r="B28" s="33">
        <f>G32/D32/30.42</f>
        <v>0.03166668266</v>
      </c>
      <c r="C28" s="3"/>
      <c r="D28" s="3"/>
      <c r="E28" s="3"/>
      <c r="F28" s="3"/>
      <c r="G28" s="3"/>
      <c r="H28" s="48"/>
      <c r="I28" s="48"/>
      <c r="L28" s="3"/>
      <c r="M28" s="4"/>
    </row>
    <row r="29">
      <c r="A29" s="3"/>
      <c r="B29" s="3"/>
      <c r="C29" s="3"/>
      <c r="D29" s="3"/>
      <c r="E29" s="3"/>
      <c r="F29" s="3"/>
      <c r="G29" s="3"/>
      <c r="H29" s="3"/>
      <c r="I29" s="48"/>
      <c r="L29" s="3"/>
      <c r="M29" s="4"/>
    </row>
    <row r="30">
      <c r="A30" s="36" t="s">
        <v>15</v>
      </c>
      <c r="B30" s="36" t="s">
        <v>16</v>
      </c>
      <c r="D30" s="36" t="s">
        <v>34</v>
      </c>
      <c r="E30" s="38" t="s">
        <v>19</v>
      </c>
      <c r="F30" s="36" t="s">
        <v>20</v>
      </c>
      <c r="G30" s="36" t="s">
        <v>21</v>
      </c>
      <c r="H30" s="36" t="s">
        <v>4</v>
      </c>
      <c r="I30" s="39" t="s">
        <v>15</v>
      </c>
      <c r="L30" s="3"/>
      <c r="M30" s="4"/>
    </row>
    <row r="31">
      <c r="A31" s="56" t="s">
        <v>31</v>
      </c>
      <c r="B31" s="41" t="s">
        <v>35</v>
      </c>
      <c r="D31" s="43">
        <f>B25*(33*60/B26)/1000000*30</f>
        <v>1214.73</v>
      </c>
      <c r="E31" s="42">
        <f>1-1/30</f>
        <v>0.9666666667</v>
      </c>
      <c r="F31" s="44">
        <f>$F$6*(1-E31)</f>
        <v>0.03166666667</v>
      </c>
      <c r="G31" s="45">
        <f>round(D31*F31*30.42,2)</f>
        <v>1170.15</v>
      </c>
      <c r="H31" s="43">
        <f>D31*(1-E31)</f>
        <v>40.491</v>
      </c>
      <c r="I31" s="46" t="s">
        <v>36</v>
      </c>
      <c r="M31" s="4"/>
    </row>
    <row r="32">
      <c r="A32" s="3"/>
      <c r="B32" s="57"/>
      <c r="C32" s="57"/>
      <c r="D32" s="49">
        <f>sum(D31)</f>
        <v>1214.73</v>
      </c>
      <c r="E32" s="57"/>
      <c r="F32" s="36" t="s">
        <v>29</v>
      </c>
      <c r="G32" s="50">
        <f>round(sum(G31),2)</f>
        <v>1170.15</v>
      </c>
      <c r="H32" s="49">
        <f>sum(H31)</f>
        <v>40.491</v>
      </c>
      <c r="I32" s="46"/>
      <c r="L32" s="3"/>
      <c r="M32" s="4"/>
    </row>
    <row r="33">
      <c r="A33" s="3"/>
      <c r="B33" s="57"/>
      <c r="C33" s="57"/>
      <c r="D33" s="57"/>
      <c r="E33" s="57"/>
      <c r="F33" s="36" t="s">
        <v>30</v>
      </c>
      <c r="G33" s="50">
        <f>round(G32*12,2)</f>
        <v>14041.8</v>
      </c>
      <c r="H33" s="3"/>
      <c r="L33" s="3"/>
      <c r="M33" s="4"/>
    </row>
    <row r="34">
      <c r="A34" s="57"/>
      <c r="B34" s="57"/>
      <c r="C34" s="57"/>
      <c r="D34" s="57"/>
      <c r="E34" s="57"/>
      <c r="F34" s="57"/>
      <c r="G34" s="57"/>
      <c r="H34" s="57"/>
      <c r="I34" s="48"/>
      <c r="L34" s="3"/>
      <c r="M34" s="4"/>
    </row>
    <row r="35">
      <c r="A35" s="58" t="s">
        <v>37</v>
      </c>
      <c r="B35" s="5"/>
      <c r="C35" s="57"/>
      <c r="D35" s="57"/>
      <c r="E35" s="57"/>
      <c r="F35" s="57"/>
      <c r="G35" s="57"/>
      <c r="H35" s="48"/>
      <c r="I35" s="48"/>
      <c r="L35" s="3"/>
      <c r="M35" s="4"/>
    </row>
    <row r="36">
      <c r="A36" s="26" t="s">
        <v>10</v>
      </c>
      <c r="B36" s="59">
        <v>150.0</v>
      </c>
      <c r="C36" s="57"/>
      <c r="D36" s="57"/>
      <c r="E36" s="57"/>
      <c r="F36" s="57"/>
      <c r="G36" s="57"/>
      <c r="H36" s="48"/>
      <c r="I36" s="48"/>
      <c r="L36" s="3"/>
      <c r="M36" s="4"/>
    </row>
    <row r="37">
      <c r="A37" s="26" t="s">
        <v>11</v>
      </c>
      <c r="B37" s="60" t="s">
        <v>12</v>
      </c>
      <c r="C37" s="57"/>
      <c r="D37" s="57"/>
      <c r="E37" s="57"/>
      <c r="F37" s="57"/>
      <c r="G37" s="57"/>
      <c r="H37" s="48"/>
      <c r="I37" s="48"/>
      <c r="L37" s="3"/>
      <c r="M37" s="4"/>
    </row>
    <row r="38">
      <c r="A38" s="26" t="s">
        <v>13</v>
      </c>
      <c r="B38" s="61">
        <v>7.0</v>
      </c>
      <c r="C38" s="57"/>
      <c r="D38" s="57"/>
      <c r="E38" s="57"/>
      <c r="F38" s="57"/>
      <c r="G38" s="57"/>
      <c r="H38" s="48"/>
      <c r="I38" s="48"/>
      <c r="L38" s="3"/>
      <c r="M38" s="4"/>
    </row>
    <row r="39">
      <c r="A39" s="32" t="s">
        <v>14</v>
      </c>
      <c r="B39" s="62">
        <f>G45/D45/30.42</f>
        <v>0.2802520272</v>
      </c>
      <c r="C39" s="57"/>
      <c r="D39" s="57"/>
      <c r="E39" s="57"/>
      <c r="F39" s="57"/>
      <c r="G39" s="57"/>
      <c r="H39" s="48"/>
      <c r="I39" s="48"/>
      <c r="L39" s="3"/>
      <c r="M39" s="4"/>
    </row>
    <row r="40">
      <c r="C40" s="57"/>
      <c r="D40" s="57"/>
      <c r="E40" s="57"/>
      <c r="F40" s="57"/>
      <c r="G40" s="57"/>
      <c r="H40" s="57"/>
      <c r="I40" s="48"/>
      <c r="L40" s="3"/>
      <c r="M40" s="4"/>
    </row>
    <row r="41">
      <c r="A41" s="36" t="s">
        <v>15</v>
      </c>
      <c r="B41" s="36" t="s">
        <v>16</v>
      </c>
      <c r="C41" s="37" t="s">
        <v>17</v>
      </c>
      <c r="D41" s="36" t="s">
        <v>34</v>
      </c>
      <c r="E41" s="38" t="s">
        <v>19</v>
      </c>
      <c r="F41" s="36" t="s">
        <v>20</v>
      </c>
      <c r="G41" s="36" t="s">
        <v>21</v>
      </c>
      <c r="H41" s="36" t="s">
        <v>4</v>
      </c>
      <c r="I41" s="39" t="s">
        <v>15</v>
      </c>
      <c r="L41" s="3"/>
      <c r="M41" s="4"/>
    </row>
    <row r="42">
      <c r="A42" s="41" t="s">
        <v>38</v>
      </c>
      <c r="B42" s="63" t="s">
        <v>39</v>
      </c>
      <c r="C42" s="42">
        <v>0.2</v>
      </c>
      <c r="D42" s="43">
        <f t="shared" ref="D42:D44" si="5">C42*$B$36</f>
        <v>30</v>
      </c>
      <c r="E42" s="42">
        <v>0.9</v>
      </c>
      <c r="F42" s="44">
        <f t="shared" ref="F42:F44" si="6">$F$6*(1-E42)</f>
        <v>0.095</v>
      </c>
      <c r="G42" s="45">
        <f t="shared" ref="G42:G44" si="7">round(D42*F42*30.42,2)</f>
        <v>86.7</v>
      </c>
      <c r="H42" s="43">
        <f t="shared" ref="H42:H44" si="8">D42*(1-E42)</f>
        <v>3</v>
      </c>
      <c r="I42" s="46" t="s">
        <v>40</v>
      </c>
      <c r="K42" s="48"/>
      <c r="L42" s="3"/>
      <c r="M42" s="4"/>
      <c r="O42" s="64">
        <v>0.1</v>
      </c>
    </row>
    <row r="43">
      <c r="A43" s="41" t="s">
        <v>41</v>
      </c>
      <c r="B43" s="65" t="str">
        <f>"+ Monitoring Dashboards
Alerting
Service Catalog
Service map
Serverless Catalog"</f>
        <v>+ Monitoring Dashboards
Alerting
Service Catalog
Service map
Serverless Catalog</v>
      </c>
      <c r="C43" s="42">
        <v>0.5</v>
      </c>
      <c r="D43" s="43">
        <f t="shared" si="5"/>
        <v>75</v>
      </c>
      <c r="E43" s="42">
        <v>0.75</v>
      </c>
      <c r="F43" s="44">
        <f t="shared" si="6"/>
        <v>0.2375</v>
      </c>
      <c r="G43" s="45">
        <f t="shared" si="7"/>
        <v>541.86</v>
      </c>
      <c r="H43" s="43">
        <f t="shared" si="8"/>
        <v>18.75</v>
      </c>
      <c r="I43" s="46" t="s">
        <v>42</v>
      </c>
      <c r="J43" s="46"/>
      <c r="L43" s="3"/>
      <c r="M43" s="4"/>
      <c r="O43" s="64"/>
    </row>
    <row r="44">
      <c r="A44" s="41" t="s">
        <v>43</v>
      </c>
      <c r="B44" s="65" t="str">
        <f>"+ Lightning-fastqueries
Dashboards"</f>
        <v>+ Lightning-fastqueries
Dashboards</v>
      </c>
      <c r="C44" s="42">
        <v>0.3</v>
      </c>
      <c r="D44" s="43">
        <f t="shared" si="5"/>
        <v>45</v>
      </c>
      <c r="E44" s="42">
        <v>0.5</v>
      </c>
      <c r="F44" s="44">
        <f t="shared" si="6"/>
        <v>0.475</v>
      </c>
      <c r="G44" s="45">
        <f t="shared" si="7"/>
        <v>650.23</v>
      </c>
      <c r="H44" s="43">
        <f t="shared" si="8"/>
        <v>22.5</v>
      </c>
      <c r="I44" s="46" t="s">
        <v>44</v>
      </c>
      <c r="J44" s="48"/>
      <c r="L44" s="3"/>
      <c r="M44" s="4"/>
      <c r="O44" s="64"/>
    </row>
    <row r="45">
      <c r="A45" s="3"/>
      <c r="B45" s="57"/>
      <c r="C45" s="57"/>
      <c r="D45" s="49">
        <f>D42+D43+D44</f>
        <v>150</v>
      </c>
      <c r="F45" s="36" t="s">
        <v>29</v>
      </c>
      <c r="G45" s="50">
        <f>round(sum(G42:G44),2)</f>
        <v>1278.79</v>
      </c>
      <c r="H45" s="49">
        <f>sum(H42:H44)</f>
        <v>44.25</v>
      </c>
      <c r="I45" s="48"/>
      <c r="L45" s="3"/>
      <c r="M45" s="4"/>
      <c r="O45" s="64">
        <v>0.2</v>
      </c>
    </row>
    <row r="46">
      <c r="F46" s="36" t="s">
        <v>30</v>
      </c>
      <c r="G46" s="50">
        <f>round(G45*12,2)</f>
        <v>15345.48</v>
      </c>
      <c r="H46" s="3"/>
      <c r="I46" s="48"/>
      <c r="L46" s="3"/>
      <c r="M46" s="4"/>
      <c r="O46" s="64"/>
    </row>
    <row r="47">
      <c r="A47" s="57"/>
      <c r="B47" s="57"/>
      <c r="C47" s="57"/>
      <c r="D47" s="57"/>
      <c r="E47" s="57"/>
      <c r="F47" s="57"/>
      <c r="G47" s="57"/>
      <c r="H47" s="57"/>
      <c r="I47" s="48"/>
      <c r="L47" s="3"/>
      <c r="M47" s="4"/>
    </row>
    <row r="48">
      <c r="A48" s="58" t="s">
        <v>45</v>
      </c>
      <c r="B48" s="5"/>
      <c r="C48" s="57"/>
      <c r="D48" s="57"/>
      <c r="E48" s="57"/>
      <c r="F48" s="57"/>
      <c r="G48" s="57"/>
      <c r="H48" s="48"/>
      <c r="I48" s="48"/>
      <c r="L48" s="3"/>
      <c r="M48" s="4"/>
    </row>
    <row r="49">
      <c r="A49" s="53" t="s">
        <v>46</v>
      </c>
      <c r="B49" s="59"/>
      <c r="C49" s="57"/>
      <c r="D49" s="57"/>
      <c r="E49" s="57"/>
      <c r="F49" s="57"/>
      <c r="G49" s="57"/>
      <c r="H49" s="48"/>
      <c r="I49" s="48"/>
      <c r="L49" s="3"/>
      <c r="M49" s="4"/>
    </row>
    <row r="50">
      <c r="A50" s="53" t="s">
        <v>47</v>
      </c>
      <c r="B50" s="66"/>
      <c r="C50" s="57"/>
      <c r="D50" s="57"/>
      <c r="E50" s="57"/>
      <c r="F50" s="57"/>
      <c r="G50" s="57"/>
      <c r="H50" s="48"/>
      <c r="I50" s="48"/>
      <c r="L50" s="3"/>
      <c r="M50" s="4"/>
    </row>
    <row r="51">
      <c r="A51" s="26" t="s">
        <v>11</v>
      </c>
      <c r="B51" s="60" t="s">
        <v>12</v>
      </c>
      <c r="C51" s="57"/>
      <c r="D51" s="57"/>
      <c r="E51" s="57"/>
      <c r="F51" s="57"/>
      <c r="G51" s="57"/>
      <c r="H51" s="48"/>
      <c r="I51" s="48"/>
      <c r="L51" s="3"/>
      <c r="M51" s="4"/>
    </row>
    <row r="52">
      <c r="A52" s="26" t="s">
        <v>13</v>
      </c>
      <c r="B52" s="61">
        <v>7.0</v>
      </c>
      <c r="C52" s="57"/>
      <c r="D52" s="57"/>
      <c r="E52" s="57"/>
      <c r="F52" s="57"/>
      <c r="G52" s="57"/>
      <c r="H52" s="48"/>
      <c r="I52" s="48"/>
      <c r="L52" s="3"/>
      <c r="M52" s="4"/>
    </row>
    <row r="53">
      <c r="A53" s="32" t="s">
        <v>14</v>
      </c>
      <c r="B53" s="62" t="str">
        <f>G59/D59/30.42</f>
        <v>#DIV/0!</v>
      </c>
      <c r="C53" s="57"/>
      <c r="D53" s="57"/>
      <c r="E53" s="57"/>
      <c r="F53" s="57"/>
      <c r="G53" s="57"/>
      <c r="H53" s="48"/>
      <c r="I53" s="48"/>
      <c r="L53" s="3"/>
      <c r="M53" s="4"/>
    </row>
    <row r="54">
      <c r="C54" s="57"/>
      <c r="D54" s="57"/>
      <c r="E54" s="57"/>
      <c r="F54" s="57"/>
      <c r="G54" s="57"/>
      <c r="H54" s="57"/>
      <c r="I54" s="48"/>
      <c r="L54" s="3"/>
      <c r="M54" s="4"/>
    </row>
    <row r="55">
      <c r="A55" s="36" t="s">
        <v>15</v>
      </c>
      <c r="B55" s="36" t="s">
        <v>16</v>
      </c>
      <c r="C55" s="37" t="s">
        <v>17</v>
      </c>
      <c r="D55" s="36" t="s">
        <v>34</v>
      </c>
      <c r="E55" s="38" t="s">
        <v>19</v>
      </c>
      <c r="F55" s="36" t="s">
        <v>20</v>
      </c>
      <c r="G55" s="36" t="s">
        <v>21</v>
      </c>
      <c r="H55" s="36" t="s">
        <v>4</v>
      </c>
      <c r="I55" s="39" t="s">
        <v>15</v>
      </c>
      <c r="L55" s="3"/>
      <c r="M55" s="4"/>
    </row>
    <row r="56">
      <c r="A56" s="41" t="s">
        <v>48</v>
      </c>
      <c r="B56" s="41" t="s">
        <v>23</v>
      </c>
      <c r="C56" s="42">
        <v>0.1</v>
      </c>
      <c r="D56" s="43">
        <f>C56*(((B49*2)/1024/1024)+((B50*800)/1024/1024))</f>
        <v>0</v>
      </c>
      <c r="E56" s="42">
        <v>0.88</v>
      </c>
      <c r="F56" s="44">
        <f t="shared" ref="F56:F58" si="9">$F$6*(1-E56)</f>
        <v>0.114</v>
      </c>
      <c r="G56" s="45">
        <f t="shared" ref="G56:G58" si="10">round(D56*F56*30.42,2)</f>
        <v>0</v>
      </c>
      <c r="H56" s="43">
        <f t="shared" ref="H56:H58" si="11">D56*(1-E56)</f>
        <v>0</v>
      </c>
      <c r="I56" s="46" t="s">
        <v>49</v>
      </c>
      <c r="K56" s="48"/>
      <c r="L56" s="3"/>
      <c r="M56" s="4"/>
      <c r="O56" s="64">
        <v>0.1</v>
      </c>
    </row>
    <row r="57">
      <c r="A57" s="41" t="s">
        <v>50</v>
      </c>
      <c r="B57" s="47" t="str">
        <f>"+ Alerting
Loggregation (ML-clustering)
Flow anomalies
Monitoring Dashboards"</f>
        <v>+ Alerting
Loggregation (ML-clustering)
Flow anomalies
Monitoring Dashboards</v>
      </c>
      <c r="C57" s="42">
        <v>0.4</v>
      </c>
      <c r="D57" s="43">
        <f>C57*(((B49*2)/1024/1024)+((B50*800)/1024/1024))</f>
        <v>0</v>
      </c>
      <c r="E57" s="42">
        <v>0.68</v>
      </c>
      <c r="F57" s="44">
        <f t="shared" si="9"/>
        <v>0.304</v>
      </c>
      <c r="G57" s="45">
        <f t="shared" si="10"/>
        <v>0</v>
      </c>
      <c r="H57" s="43">
        <f t="shared" si="11"/>
        <v>0</v>
      </c>
      <c r="I57" s="46" t="s">
        <v>51</v>
      </c>
      <c r="J57" s="46"/>
      <c r="L57" s="3"/>
      <c r="M57" s="4"/>
      <c r="O57" s="64"/>
    </row>
    <row r="58">
      <c r="A58" s="41" t="s">
        <v>52</v>
      </c>
      <c r="B58" s="47" t="str">
        <f>"+ Lightning-fast Queries,
Dashboards"</f>
        <v>+ Lightning-fast Queries,
Dashboards</v>
      </c>
      <c r="C58" s="42">
        <v>0.5</v>
      </c>
      <c r="D58" s="43">
        <f>C58*(((B49*2)/1024/1024)+((B50*800)/1024/1024))</f>
        <v>0</v>
      </c>
      <c r="E58" s="42">
        <v>0.2</v>
      </c>
      <c r="F58" s="44">
        <f t="shared" si="9"/>
        <v>0.76</v>
      </c>
      <c r="G58" s="45">
        <f t="shared" si="10"/>
        <v>0</v>
      </c>
      <c r="H58" s="43">
        <f t="shared" si="11"/>
        <v>0</v>
      </c>
      <c r="I58" s="46" t="s">
        <v>53</v>
      </c>
      <c r="J58" s="48"/>
      <c r="L58" s="3"/>
      <c r="M58" s="4"/>
      <c r="O58" s="64"/>
    </row>
    <row r="59">
      <c r="A59" s="3"/>
      <c r="B59" s="57"/>
      <c r="C59" s="57"/>
      <c r="D59" s="49">
        <f>D56+D57+D58</f>
        <v>0</v>
      </c>
      <c r="F59" s="36" t="s">
        <v>29</v>
      </c>
      <c r="G59" s="50">
        <f>round(sum(G56:G58),2)</f>
        <v>0</v>
      </c>
      <c r="H59" s="49">
        <f>sum(H56:H58)</f>
        <v>0</v>
      </c>
      <c r="I59" s="48"/>
      <c r="L59" s="3"/>
      <c r="M59" s="4"/>
      <c r="O59" s="64">
        <v>0.2</v>
      </c>
    </row>
    <row r="60">
      <c r="F60" s="36" t="s">
        <v>30</v>
      </c>
      <c r="G60" s="52">
        <f>round(G59*12.2,0)</f>
        <v>0</v>
      </c>
      <c r="H60" s="3"/>
      <c r="I60" s="48"/>
      <c r="L60" s="3"/>
      <c r="M60" s="4"/>
      <c r="O60" s="64"/>
    </row>
    <row r="61" hidden="1">
      <c r="A61" s="67" t="s">
        <v>54</v>
      </c>
      <c r="B61" s="3"/>
      <c r="I61" s="48"/>
      <c r="L61" s="3"/>
      <c r="M61" s="4"/>
      <c r="O61" s="64">
        <v>0.3</v>
      </c>
    </row>
    <row r="62" hidden="1">
      <c r="A62" s="68" t="s">
        <v>55</v>
      </c>
      <c r="B62" s="69">
        <v>0.0</v>
      </c>
      <c r="I62" s="48"/>
      <c r="L62" s="3"/>
      <c r="M62" s="4"/>
      <c r="O62" s="64">
        <v>0.4</v>
      </c>
    </row>
    <row r="63" hidden="1">
      <c r="A63" s="68" t="s">
        <v>56</v>
      </c>
      <c r="B63" s="70">
        <v>0.0</v>
      </c>
      <c r="H63" s="48"/>
      <c r="I63" s="48"/>
      <c r="L63" s="3"/>
      <c r="M63" s="4"/>
      <c r="O63" s="64">
        <v>0.5</v>
      </c>
    </row>
    <row r="64" hidden="1">
      <c r="A64" s="68" t="s">
        <v>57</v>
      </c>
      <c r="B64" s="70" t="s">
        <v>58</v>
      </c>
      <c r="H64" s="48"/>
      <c r="I64" s="48"/>
      <c r="L64" s="3"/>
      <c r="M64" s="4"/>
      <c r="O64" s="64">
        <v>0.6</v>
      </c>
    </row>
    <row r="65" hidden="1">
      <c r="A65" s="71" t="s">
        <v>59</v>
      </c>
      <c r="B65" s="72">
        <f>(F68+F69+F70)/30</f>
        <v>0</v>
      </c>
      <c r="H65" s="48"/>
      <c r="I65" s="48"/>
      <c r="L65" s="3"/>
      <c r="M65" s="4"/>
      <c r="O65" s="64">
        <v>0.7</v>
      </c>
    </row>
    <row r="66" hidden="1">
      <c r="H66" s="48"/>
      <c r="I66" s="48"/>
      <c r="L66" s="3"/>
      <c r="M66" s="4"/>
      <c r="O66" s="64">
        <v>0.8</v>
      </c>
    </row>
    <row r="67" hidden="1">
      <c r="A67" s="36" t="s">
        <v>15</v>
      </c>
      <c r="B67" s="36" t="s">
        <v>16</v>
      </c>
      <c r="E67" s="38" t="s">
        <v>60</v>
      </c>
      <c r="F67" s="36" t="s">
        <v>21</v>
      </c>
      <c r="G67" s="36" t="s">
        <v>61</v>
      </c>
      <c r="H67" s="38" t="s">
        <v>62</v>
      </c>
      <c r="I67" s="39" t="s">
        <v>15</v>
      </c>
      <c r="L67" s="3"/>
      <c r="M67" s="4"/>
      <c r="O67" s="64">
        <v>0.9</v>
      </c>
    </row>
    <row r="68" hidden="1">
      <c r="A68" s="47" t="s">
        <v>63</v>
      </c>
      <c r="B68" s="47" t="s">
        <v>64</v>
      </c>
      <c r="E68" s="73">
        <v>2000.0</v>
      </c>
      <c r="F68" s="74">
        <f>round(B62*E68,2)</f>
        <v>0</v>
      </c>
      <c r="G68" s="42">
        <v>0.0</v>
      </c>
      <c r="H68" s="45">
        <f t="shared" ref="H68:H70" si="12">round(F68*12*(1-G68),2)</f>
        <v>0</v>
      </c>
      <c r="I68" s="46" t="s">
        <v>65</v>
      </c>
      <c r="L68" s="3"/>
      <c r="M68" s="4"/>
      <c r="O68" s="64"/>
    </row>
    <row r="69" hidden="1">
      <c r="A69" s="47" t="s">
        <v>66</v>
      </c>
      <c r="B69" s="47" t="s">
        <v>67</v>
      </c>
      <c r="E69" s="73">
        <v>1500.0</v>
      </c>
      <c r="F69" s="75">
        <f>round(E69*B63,2)</f>
        <v>0</v>
      </c>
      <c r="G69" s="42">
        <v>0.0</v>
      </c>
      <c r="H69" s="45">
        <f t="shared" si="12"/>
        <v>0</v>
      </c>
      <c r="L69" s="3"/>
      <c r="M69" s="4"/>
      <c r="O69" s="64"/>
    </row>
    <row r="70" hidden="1">
      <c r="A70" s="41" t="s">
        <v>68</v>
      </c>
      <c r="B70" s="47" t="s">
        <v>69</v>
      </c>
      <c r="E70" s="73">
        <v>1500.0</v>
      </c>
      <c r="F70" s="75">
        <f>round(if(B64="YES",E70,0),2)</f>
        <v>0</v>
      </c>
      <c r="G70" s="42">
        <v>0.0</v>
      </c>
      <c r="H70" s="45">
        <f t="shared" si="12"/>
        <v>0</v>
      </c>
      <c r="L70" s="3"/>
      <c r="M70" s="4"/>
      <c r="O70" s="64">
        <v>1.0</v>
      </c>
    </row>
    <row r="71" hidden="1">
      <c r="G71" s="36" t="s">
        <v>29</v>
      </c>
      <c r="H71" s="50">
        <f>round(sum(H68:H70),2)</f>
        <v>0</v>
      </c>
      <c r="L71" s="3"/>
      <c r="M71" s="4"/>
    </row>
    <row r="72" hidden="1">
      <c r="A72" s="57"/>
      <c r="B72" s="57"/>
      <c r="C72" s="57"/>
      <c r="D72" s="57"/>
      <c r="G72" s="36" t="s">
        <v>30</v>
      </c>
      <c r="H72" s="50">
        <f>round(H71*12,2)</f>
        <v>0</v>
      </c>
      <c r="K72" s="7"/>
      <c r="L72" s="3"/>
      <c r="M72" s="4"/>
      <c r="N72" s="4"/>
      <c r="O72" s="4"/>
    </row>
    <row r="73" hidden="1">
      <c r="K73" s="4"/>
      <c r="L73" s="4"/>
    </row>
    <row r="74" hidden="1">
      <c r="A74" s="25" t="s">
        <v>70</v>
      </c>
      <c r="J74" s="7"/>
      <c r="K74" s="4"/>
      <c r="L74" s="4"/>
    </row>
    <row r="75" hidden="1">
      <c r="A75" s="36" t="s">
        <v>71</v>
      </c>
      <c r="B75" s="36" t="s">
        <v>16</v>
      </c>
      <c r="E75" s="36" t="s">
        <v>72</v>
      </c>
      <c r="F75" s="36" t="s">
        <v>61</v>
      </c>
      <c r="G75" s="36" t="s">
        <v>72</v>
      </c>
      <c r="H75" s="39"/>
      <c r="I75" s="39" t="s">
        <v>15</v>
      </c>
      <c r="J75" s="3"/>
      <c r="K75" s="4"/>
      <c r="L75" s="4"/>
    </row>
    <row r="76" hidden="1">
      <c r="A76" s="68" t="s">
        <v>73</v>
      </c>
      <c r="B76" s="76" t="s">
        <v>74</v>
      </c>
      <c r="E76" s="73">
        <v>25000.0</v>
      </c>
      <c r="F76" s="77">
        <v>1.0</v>
      </c>
      <c r="G76" s="45">
        <f>round(E76-(E76*F76),2)</f>
        <v>0</v>
      </c>
      <c r="H76" s="48"/>
      <c r="I76" s="46" t="s">
        <v>75</v>
      </c>
      <c r="J76" s="3"/>
      <c r="K76" s="3"/>
      <c r="L76" s="4"/>
      <c r="M76" s="4"/>
      <c r="N76" s="4"/>
    </row>
    <row r="77" hidden="1">
      <c r="A77" s="68" t="s">
        <v>76</v>
      </c>
      <c r="B77" s="78" t="s">
        <v>77</v>
      </c>
      <c r="E77" s="79" t="s">
        <v>78</v>
      </c>
      <c r="F77" s="79"/>
      <c r="G77" s="45">
        <v>0.0</v>
      </c>
      <c r="H77" s="48"/>
      <c r="J77" s="3"/>
      <c r="K77" s="3"/>
      <c r="L77" s="4"/>
      <c r="M77" s="4"/>
      <c r="N77" s="4"/>
    </row>
    <row r="78">
      <c r="E78" s="57"/>
      <c r="F78" s="57"/>
      <c r="G78" s="7"/>
      <c r="H78" s="48"/>
      <c r="I78" s="48"/>
      <c r="J78" s="80"/>
      <c r="K78" s="7"/>
      <c r="L78" s="4"/>
      <c r="M78" s="4"/>
      <c r="N78" s="4"/>
    </row>
    <row r="79">
      <c r="G79" s="7"/>
      <c r="H79" s="7"/>
      <c r="I79" s="7"/>
      <c r="J79" s="80"/>
      <c r="K79" s="7"/>
      <c r="L79" s="4"/>
      <c r="M79" s="4"/>
      <c r="N79" s="4"/>
    </row>
    <row r="80">
      <c r="E80" s="81" t="s">
        <v>4</v>
      </c>
      <c r="F80" s="82"/>
      <c r="G80" s="83">
        <f>H21+H32+H45+H59</f>
        <v>90.341</v>
      </c>
      <c r="H80" s="4"/>
      <c r="I80" s="4"/>
      <c r="J80" s="7"/>
    </row>
    <row r="81">
      <c r="A81" s="84"/>
      <c r="B81" s="84"/>
      <c r="C81" s="84"/>
      <c r="D81" s="84"/>
      <c r="E81" s="85" t="s">
        <v>2</v>
      </c>
      <c r="F81" s="82"/>
      <c r="G81" s="86">
        <f>round(G21+G32+G45+H71+G59,2)</f>
        <v>2610.77</v>
      </c>
      <c r="J81" s="7"/>
      <c r="K81" s="4"/>
      <c r="L81" s="4"/>
      <c r="M81" s="4"/>
    </row>
    <row r="82">
      <c r="A82" s="84"/>
      <c r="B82" s="84"/>
      <c r="C82" s="84"/>
      <c r="D82" s="84"/>
      <c r="E82" s="85" t="s">
        <v>5</v>
      </c>
      <c r="F82" s="82"/>
      <c r="G82" s="87">
        <f>round(G81*12,2)</f>
        <v>31329.24</v>
      </c>
      <c r="K82" s="7"/>
      <c r="L82" s="4"/>
      <c r="M82" s="4"/>
      <c r="N82" s="4"/>
    </row>
    <row r="83">
      <c r="A83" s="88"/>
      <c r="B83" s="89"/>
      <c r="C83" s="89"/>
      <c r="D83" s="89"/>
      <c r="E83" s="90"/>
      <c r="F83" s="90"/>
      <c r="G83" s="90"/>
    </row>
    <row r="84">
      <c r="A84" s="88"/>
      <c r="B84" s="88"/>
      <c r="C84" s="88"/>
      <c r="D84" s="88"/>
      <c r="E84" s="88"/>
      <c r="F84" s="88"/>
      <c r="G84" s="88"/>
      <c r="H84" s="88"/>
    </row>
    <row r="85">
      <c r="A85" s="91" t="s">
        <v>79</v>
      </c>
      <c r="B85" s="92"/>
      <c r="C85" s="92"/>
      <c r="D85" s="92"/>
      <c r="E85" s="92"/>
      <c r="F85" s="92"/>
      <c r="G85" s="92"/>
      <c r="H85" s="93"/>
    </row>
    <row r="86">
      <c r="A86" s="94"/>
      <c r="B86" s="95"/>
      <c r="C86" s="95"/>
      <c r="D86" s="95"/>
      <c r="E86" s="95"/>
      <c r="F86" s="95"/>
      <c r="G86" s="95"/>
      <c r="H86" s="96"/>
    </row>
    <row r="87">
      <c r="A87" s="97" t="s">
        <v>80</v>
      </c>
      <c r="B87" s="96"/>
      <c r="C87" s="98" t="s">
        <v>15</v>
      </c>
      <c r="D87" s="98" t="s">
        <v>81</v>
      </c>
      <c r="E87" s="98" t="s">
        <v>82</v>
      </c>
      <c r="F87" s="99"/>
      <c r="G87" s="95"/>
      <c r="H87" s="96"/>
    </row>
    <row r="88" ht="80.25" customHeight="1">
      <c r="A88" s="100" t="s">
        <v>83</v>
      </c>
      <c r="B88" s="101"/>
      <c r="C88" s="102" t="s">
        <v>9</v>
      </c>
      <c r="D88" s="103" t="str">
        <f>'Copy of DD '!E63</f>
        <v>#REF!</v>
      </c>
      <c r="E88" s="104">
        <f>C20</f>
        <v>1</v>
      </c>
      <c r="F88" s="105" t="s">
        <v>84</v>
      </c>
      <c r="H88" s="101"/>
    </row>
    <row r="89" ht="172.5" customHeight="1">
      <c r="A89" s="94"/>
      <c r="B89" s="96"/>
      <c r="C89" s="102" t="s">
        <v>37</v>
      </c>
      <c r="D89" s="106">
        <v>0.0</v>
      </c>
      <c r="E89" s="104">
        <f>E88</f>
        <v>1</v>
      </c>
      <c r="F89" s="95"/>
      <c r="G89" s="95"/>
      <c r="H89" s="96"/>
    </row>
    <row r="90">
      <c r="A90" s="107"/>
      <c r="B90" s="107"/>
      <c r="C90" s="107"/>
      <c r="D90" s="107"/>
      <c r="E90" s="107"/>
      <c r="F90" s="107"/>
      <c r="G90" s="107"/>
      <c r="H90" s="108"/>
    </row>
    <row r="91" ht="87.0" customHeight="1">
      <c r="A91" s="100" t="s">
        <v>85</v>
      </c>
      <c r="B91" s="101"/>
      <c r="C91" s="102" t="s">
        <v>9</v>
      </c>
      <c r="D91" s="103" t="str">
        <f>D88</f>
        <v>#REF!</v>
      </c>
      <c r="E91" s="104">
        <v>1.0</v>
      </c>
      <c r="F91" s="105" t="s">
        <v>86</v>
      </c>
      <c r="H91" s="101"/>
    </row>
    <row r="92" ht="144.0" customHeight="1">
      <c r="A92" s="94"/>
      <c r="B92" s="96"/>
      <c r="C92" s="102" t="s">
        <v>37</v>
      </c>
      <c r="D92" s="103">
        <v>0.0</v>
      </c>
      <c r="E92" s="104">
        <v>1.0</v>
      </c>
      <c r="F92" s="95"/>
      <c r="G92" s="95"/>
      <c r="H92" s="96"/>
    </row>
    <row r="93">
      <c r="A93" s="88"/>
      <c r="B93" s="89"/>
      <c r="C93" s="89"/>
      <c r="D93" s="89"/>
      <c r="E93" s="90"/>
      <c r="F93" s="90"/>
      <c r="G93" s="90"/>
      <c r="H93" s="90"/>
      <c r="I93" s="90"/>
      <c r="J93" s="4"/>
      <c r="K93" s="4"/>
      <c r="L93" s="4"/>
      <c r="M93" s="4"/>
      <c r="N93" s="4"/>
      <c r="O93" s="4"/>
    </row>
    <row r="94">
      <c r="A94" s="88"/>
      <c r="B94" s="89"/>
      <c r="C94" s="89"/>
      <c r="D94" s="89"/>
      <c r="E94" s="90"/>
      <c r="F94" s="90"/>
      <c r="G94" s="90"/>
      <c r="H94" s="90"/>
      <c r="I94" s="90"/>
      <c r="J94" s="4"/>
      <c r="K94" s="4"/>
      <c r="L94" s="4"/>
      <c r="M94" s="4"/>
      <c r="N94" s="4"/>
      <c r="O94" s="4"/>
    </row>
    <row r="95">
      <c r="A95" s="88"/>
      <c r="B95" s="89"/>
      <c r="C95" s="89"/>
      <c r="D95" s="89"/>
      <c r="E95" s="90"/>
      <c r="F95" s="90"/>
      <c r="G95" s="90"/>
      <c r="H95" s="90"/>
      <c r="I95" s="90"/>
      <c r="J95" s="4"/>
      <c r="K95" s="4"/>
      <c r="L95" s="4"/>
      <c r="M95" s="4"/>
      <c r="N95" s="4"/>
      <c r="O95" s="4"/>
    </row>
    <row r="96">
      <c r="A96" s="88"/>
      <c r="B96" s="89"/>
      <c r="C96" s="89"/>
      <c r="D96" s="89"/>
      <c r="E96" s="90"/>
      <c r="F96" s="90"/>
      <c r="G96" s="90"/>
      <c r="H96" s="90"/>
      <c r="I96" s="90"/>
      <c r="J96" s="4"/>
      <c r="K96" s="4"/>
      <c r="L96" s="4"/>
      <c r="M96" s="4"/>
      <c r="N96" s="4"/>
      <c r="O96" s="4"/>
    </row>
    <row r="97">
      <c r="A97" s="88"/>
      <c r="B97" s="89"/>
      <c r="C97" s="89"/>
      <c r="D97" s="89"/>
      <c r="E97" s="90"/>
      <c r="F97" s="90"/>
      <c r="G97" s="90"/>
      <c r="H97" s="90"/>
      <c r="I97" s="90"/>
      <c r="J97" s="4"/>
      <c r="K97" s="4"/>
      <c r="L97" s="4"/>
      <c r="M97" s="4"/>
      <c r="N97" s="4"/>
      <c r="O97" s="4"/>
    </row>
    <row r="98">
      <c r="A98" s="88"/>
      <c r="B98" s="89"/>
      <c r="C98" s="89"/>
      <c r="D98" s="89"/>
      <c r="E98" s="90"/>
      <c r="F98" s="90"/>
      <c r="G98" s="90"/>
      <c r="H98" s="90"/>
      <c r="I98" s="90"/>
      <c r="J98" s="4"/>
      <c r="K98" s="4"/>
      <c r="L98" s="4"/>
      <c r="M98" s="4"/>
      <c r="N98" s="4"/>
      <c r="O98" s="4"/>
    </row>
    <row r="99">
      <c r="A99" s="88"/>
      <c r="B99" s="89"/>
      <c r="C99" s="89"/>
      <c r="D99" s="89"/>
      <c r="E99" s="90"/>
      <c r="F99" s="90"/>
      <c r="G99" s="90"/>
      <c r="H99" s="90"/>
      <c r="I99" s="90"/>
      <c r="J99" s="4"/>
      <c r="K99" s="4"/>
      <c r="L99" s="4"/>
      <c r="M99" s="4"/>
      <c r="N99" s="4"/>
      <c r="O99" s="4"/>
    </row>
    <row r="100">
      <c r="A100" s="88"/>
      <c r="B100" s="89"/>
      <c r="C100" s="89"/>
      <c r="D100" s="89"/>
      <c r="E100" s="90"/>
      <c r="F100" s="90"/>
      <c r="G100" s="90"/>
      <c r="H100" s="90"/>
      <c r="I100" s="90"/>
      <c r="J100" s="4"/>
      <c r="K100" s="4"/>
      <c r="L100" s="4"/>
      <c r="M100" s="4"/>
      <c r="N100" s="4"/>
      <c r="O100" s="4"/>
    </row>
    <row r="101">
      <c r="A101" s="88"/>
      <c r="B101" s="89"/>
      <c r="C101" s="89"/>
      <c r="D101" s="89"/>
      <c r="E101" s="90"/>
      <c r="F101" s="90"/>
      <c r="G101" s="90"/>
      <c r="H101" s="90"/>
      <c r="I101" s="90"/>
      <c r="J101" s="4"/>
      <c r="K101" s="4"/>
      <c r="L101" s="4"/>
      <c r="M101" s="4"/>
      <c r="N101" s="4"/>
      <c r="O101" s="4"/>
    </row>
    <row r="102">
      <c r="A102" s="88"/>
      <c r="B102" s="89"/>
      <c r="C102" s="89"/>
      <c r="D102" s="89"/>
      <c r="E102" s="90"/>
      <c r="F102" s="90"/>
      <c r="G102" s="90"/>
      <c r="H102" s="90"/>
      <c r="I102" s="90"/>
      <c r="J102" s="4"/>
      <c r="K102" s="4"/>
      <c r="L102" s="4"/>
      <c r="M102" s="4"/>
      <c r="N102" s="4"/>
      <c r="O102" s="4"/>
    </row>
    <row r="103">
      <c r="A103" s="88"/>
      <c r="B103" s="89"/>
      <c r="C103" s="89"/>
      <c r="D103" s="89"/>
      <c r="E103" s="90"/>
      <c r="F103" s="90"/>
      <c r="G103" s="90"/>
      <c r="H103" s="90"/>
      <c r="I103" s="90"/>
      <c r="J103" s="4"/>
      <c r="K103" s="4"/>
      <c r="L103" s="4"/>
      <c r="M103" s="4"/>
      <c r="N103" s="4"/>
      <c r="O103" s="4"/>
    </row>
    <row r="104">
      <c r="A104" s="88"/>
      <c r="B104" s="89"/>
      <c r="C104" s="89"/>
      <c r="D104" s="89"/>
      <c r="E104" s="90"/>
      <c r="F104" s="90"/>
      <c r="G104" s="90"/>
      <c r="H104" s="90"/>
      <c r="I104" s="90"/>
      <c r="J104" s="4"/>
      <c r="K104" s="4"/>
      <c r="L104" s="4"/>
      <c r="M104" s="4"/>
      <c r="N104" s="4"/>
      <c r="O104" s="4"/>
    </row>
    <row r="105">
      <c r="A105" s="88"/>
      <c r="B105" s="89"/>
      <c r="C105" s="89"/>
      <c r="D105" s="89"/>
      <c r="E105" s="90"/>
      <c r="F105" s="90"/>
      <c r="G105" s="90"/>
      <c r="H105" s="90"/>
      <c r="I105" s="90"/>
      <c r="J105" s="4"/>
      <c r="K105" s="4"/>
      <c r="L105" s="4"/>
      <c r="M105" s="4"/>
      <c r="N105" s="4"/>
      <c r="O105" s="4"/>
    </row>
    <row r="106">
      <c r="A106" s="88"/>
      <c r="B106" s="89"/>
      <c r="C106" s="89"/>
      <c r="D106" s="89"/>
      <c r="E106" s="90"/>
      <c r="F106" s="90"/>
      <c r="G106" s="90"/>
      <c r="H106" s="90"/>
      <c r="I106" s="90"/>
      <c r="J106" s="4"/>
      <c r="K106" s="4"/>
      <c r="L106" s="4"/>
      <c r="M106" s="4"/>
      <c r="N106" s="4"/>
      <c r="O106" s="4"/>
    </row>
    <row r="107">
      <c r="A107" s="88"/>
      <c r="B107" s="89"/>
      <c r="C107" s="89"/>
      <c r="D107" s="89"/>
      <c r="E107" s="90"/>
      <c r="F107" s="90"/>
      <c r="G107" s="90"/>
      <c r="H107" s="90"/>
      <c r="I107" s="90"/>
      <c r="J107" s="4"/>
      <c r="K107" s="4"/>
      <c r="L107" s="4"/>
      <c r="M107" s="4"/>
      <c r="N107" s="4"/>
      <c r="O107" s="4"/>
    </row>
    <row r="108">
      <c r="A108" s="88"/>
      <c r="B108" s="89"/>
      <c r="C108" s="89"/>
      <c r="D108" s="89"/>
      <c r="E108" s="90"/>
      <c r="F108" s="90"/>
      <c r="G108" s="90"/>
      <c r="H108" s="90"/>
      <c r="I108" s="90"/>
      <c r="J108" s="4"/>
      <c r="K108" s="4"/>
      <c r="L108" s="4"/>
      <c r="M108" s="4"/>
      <c r="N108" s="4"/>
      <c r="O108" s="4"/>
    </row>
    <row r="109">
      <c r="A109" s="88"/>
      <c r="B109" s="89"/>
      <c r="C109" s="89"/>
      <c r="D109" s="89"/>
      <c r="E109" s="90"/>
      <c r="F109" s="90"/>
      <c r="G109" s="90"/>
      <c r="H109" s="90"/>
      <c r="I109" s="90"/>
      <c r="J109" s="4"/>
      <c r="K109" s="4"/>
      <c r="L109" s="4"/>
      <c r="M109" s="4"/>
      <c r="N109" s="4"/>
      <c r="O109" s="4"/>
    </row>
    <row r="110">
      <c r="A110" s="88"/>
      <c r="B110" s="89"/>
      <c r="C110" s="89"/>
      <c r="D110" s="89"/>
      <c r="E110" s="90"/>
      <c r="F110" s="90"/>
      <c r="G110" s="90"/>
      <c r="H110" s="90"/>
      <c r="I110" s="90"/>
      <c r="J110" s="4"/>
      <c r="K110" s="4"/>
      <c r="L110" s="4"/>
      <c r="M110" s="4"/>
      <c r="N110" s="4"/>
      <c r="O110" s="4"/>
    </row>
    <row r="111">
      <c r="A111" s="88"/>
      <c r="B111" s="89"/>
      <c r="C111" s="89"/>
      <c r="D111" s="89"/>
      <c r="E111" s="90"/>
      <c r="F111" s="90"/>
      <c r="G111" s="90"/>
      <c r="H111" s="90"/>
      <c r="I111" s="90"/>
      <c r="J111" s="4"/>
      <c r="K111" s="4"/>
      <c r="L111" s="4"/>
      <c r="M111" s="4"/>
      <c r="N111" s="4"/>
      <c r="O111" s="4"/>
    </row>
    <row r="112">
      <c r="A112" s="88"/>
      <c r="B112" s="89"/>
      <c r="C112" s="89"/>
      <c r="D112" s="89"/>
      <c r="E112" s="90"/>
      <c r="F112" s="90"/>
      <c r="G112" s="90"/>
      <c r="H112" s="90"/>
      <c r="I112" s="90"/>
      <c r="J112" s="4"/>
      <c r="K112" s="4"/>
      <c r="L112" s="4"/>
      <c r="M112" s="4"/>
      <c r="N112" s="4"/>
      <c r="O112" s="4"/>
    </row>
    <row r="113">
      <c r="A113" s="88"/>
      <c r="B113" s="89"/>
      <c r="C113" s="89"/>
      <c r="D113" s="89"/>
      <c r="E113" s="90"/>
      <c r="F113" s="90"/>
      <c r="G113" s="90"/>
      <c r="H113" s="90"/>
      <c r="I113" s="90"/>
      <c r="J113" s="4"/>
      <c r="K113" s="4"/>
      <c r="L113" s="4"/>
      <c r="M113" s="4"/>
      <c r="N113" s="4"/>
      <c r="O113" s="4"/>
    </row>
    <row r="114">
      <c r="A114" s="88"/>
      <c r="B114" s="89"/>
      <c r="C114" s="89"/>
      <c r="D114" s="89"/>
      <c r="E114" s="90"/>
      <c r="F114" s="90"/>
      <c r="G114" s="90"/>
      <c r="H114" s="90"/>
      <c r="I114" s="90"/>
      <c r="J114" s="4"/>
      <c r="K114" s="4"/>
      <c r="L114" s="4"/>
      <c r="M114" s="4"/>
      <c r="N114" s="4"/>
      <c r="O114" s="4"/>
    </row>
    <row r="115">
      <c r="A115" s="88"/>
      <c r="B115" s="89"/>
      <c r="C115" s="89"/>
      <c r="D115" s="89"/>
      <c r="E115" s="90"/>
      <c r="F115" s="90"/>
      <c r="G115" s="90"/>
      <c r="H115" s="90"/>
      <c r="I115" s="90"/>
      <c r="J115" s="4"/>
      <c r="K115" s="4"/>
      <c r="L115" s="4"/>
      <c r="M115" s="4"/>
      <c r="N115" s="4"/>
      <c r="O115" s="4"/>
    </row>
    <row r="116">
      <c r="A116" s="88"/>
      <c r="B116" s="89"/>
      <c r="C116" s="89"/>
      <c r="D116" s="89"/>
      <c r="E116" s="90"/>
      <c r="F116" s="90"/>
      <c r="G116" s="90"/>
      <c r="H116" s="90"/>
      <c r="I116" s="90"/>
      <c r="J116" s="4"/>
      <c r="K116" s="4"/>
      <c r="L116" s="4"/>
      <c r="M116" s="4"/>
      <c r="N116" s="4"/>
      <c r="O116" s="4"/>
    </row>
    <row r="117">
      <c r="A117" s="88"/>
      <c r="B117" s="89"/>
      <c r="C117" s="89"/>
      <c r="D117" s="89"/>
      <c r="E117" s="90"/>
      <c r="F117" s="90"/>
      <c r="G117" s="90"/>
      <c r="H117" s="90"/>
      <c r="I117" s="90"/>
      <c r="J117" s="4"/>
      <c r="K117" s="4"/>
      <c r="L117" s="4"/>
      <c r="M117" s="4"/>
      <c r="N117" s="4"/>
      <c r="O117" s="4"/>
    </row>
    <row r="118">
      <c r="A118" s="88"/>
      <c r="B118" s="89"/>
      <c r="C118" s="89"/>
      <c r="D118" s="89"/>
      <c r="E118" s="90"/>
      <c r="F118" s="90"/>
      <c r="G118" s="90"/>
      <c r="H118" s="90"/>
      <c r="I118" s="90"/>
      <c r="J118" s="4"/>
      <c r="K118" s="4"/>
      <c r="L118" s="4"/>
      <c r="M118" s="4"/>
      <c r="N118" s="4"/>
      <c r="O118" s="4"/>
    </row>
    <row r="119">
      <c r="A119" s="88"/>
      <c r="B119" s="89"/>
      <c r="C119" s="89"/>
      <c r="D119" s="89"/>
      <c r="E119" s="90"/>
      <c r="F119" s="90"/>
      <c r="G119" s="90"/>
      <c r="H119" s="90"/>
      <c r="I119" s="90"/>
      <c r="J119" s="4"/>
      <c r="K119" s="4"/>
      <c r="L119" s="4"/>
      <c r="M119" s="4"/>
      <c r="N119" s="4"/>
      <c r="O119" s="4"/>
    </row>
    <row r="120">
      <c r="A120" s="88"/>
      <c r="B120" s="89"/>
      <c r="C120" s="89"/>
      <c r="D120" s="89"/>
      <c r="E120" s="90"/>
      <c r="F120" s="90"/>
      <c r="G120" s="90"/>
      <c r="H120" s="90"/>
      <c r="I120" s="90"/>
      <c r="J120" s="4"/>
      <c r="K120" s="4"/>
      <c r="L120" s="4"/>
      <c r="M120" s="4"/>
      <c r="N120" s="4"/>
      <c r="O120" s="4"/>
    </row>
    <row r="121">
      <c r="A121" s="88"/>
      <c r="B121" s="89"/>
      <c r="C121" s="89"/>
      <c r="D121" s="89"/>
      <c r="E121" s="90"/>
      <c r="F121" s="90"/>
      <c r="G121" s="90"/>
      <c r="H121" s="90"/>
      <c r="I121" s="90"/>
      <c r="J121" s="4"/>
      <c r="K121" s="4"/>
      <c r="L121" s="4"/>
      <c r="M121" s="4"/>
      <c r="N121" s="4"/>
      <c r="O121" s="4"/>
    </row>
    <row r="122">
      <c r="A122" s="88"/>
      <c r="B122" s="89"/>
      <c r="C122" s="89"/>
      <c r="D122" s="89"/>
      <c r="E122" s="90"/>
      <c r="F122" s="90"/>
      <c r="G122" s="90"/>
      <c r="H122" s="90"/>
      <c r="I122" s="90"/>
      <c r="J122" s="4"/>
      <c r="K122" s="4"/>
      <c r="L122" s="4"/>
      <c r="M122" s="4"/>
      <c r="N122" s="4"/>
      <c r="O122" s="4"/>
    </row>
    <row r="123">
      <c r="A123" s="88"/>
      <c r="B123" s="89"/>
      <c r="C123" s="89"/>
      <c r="D123" s="89"/>
      <c r="E123" s="90"/>
      <c r="F123" s="90"/>
      <c r="G123" s="90"/>
      <c r="H123" s="90"/>
      <c r="I123" s="90"/>
      <c r="J123" s="4"/>
      <c r="K123" s="4"/>
      <c r="L123" s="4"/>
      <c r="M123" s="4"/>
      <c r="N123" s="4"/>
      <c r="O123" s="4"/>
    </row>
    <row r="124">
      <c r="A124" s="88"/>
      <c r="B124" s="89"/>
      <c r="C124" s="89"/>
      <c r="D124" s="89"/>
      <c r="E124" s="90"/>
      <c r="F124" s="90"/>
      <c r="G124" s="90"/>
      <c r="H124" s="90"/>
      <c r="I124" s="90"/>
      <c r="J124" s="4"/>
      <c r="K124" s="4"/>
      <c r="L124" s="4"/>
      <c r="M124" s="4"/>
      <c r="N124" s="4"/>
      <c r="O124" s="4"/>
    </row>
    <row r="125">
      <c r="A125" s="88"/>
      <c r="B125" s="89"/>
      <c r="C125" s="89"/>
      <c r="D125" s="89"/>
      <c r="E125" s="90"/>
      <c r="F125" s="90"/>
      <c r="G125" s="90"/>
      <c r="H125" s="90"/>
      <c r="I125" s="90"/>
      <c r="J125" s="4"/>
      <c r="K125" s="4"/>
      <c r="L125" s="4"/>
      <c r="M125" s="4"/>
      <c r="N125" s="4"/>
      <c r="O125" s="4"/>
    </row>
    <row r="126">
      <c r="A126" s="88"/>
      <c r="B126" s="89"/>
      <c r="C126" s="89"/>
      <c r="D126" s="89"/>
      <c r="E126" s="90"/>
      <c r="F126" s="90"/>
      <c r="G126" s="90"/>
      <c r="H126" s="90"/>
      <c r="I126" s="90"/>
      <c r="J126" s="4"/>
      <c r="K126" s="4"/>
      <c r="L126" s="4"/>
      <c r="M126" s="4"/>
      <c r="N126" s="4"/>
      <c r="O126" s="4"/>
    </row>
    <row r="127">
      <c r="A127" s="88"/>
      <c r="B127" s="89"/>
      <c r="C127" s="89"/>
      <c r="D127" s="89"/>
      <c r="E127" s="90"/>
      <c r="F127" s="90"/>
      <c r="G127" s="90"/>
      <c r="H127" s="90"/>
      <c r="I127" s="90"/>
      <c r="J127" s="4"/>
      <c r="K127" s="4"/>
      <c r="L127" s="4"/>
      <c r="M127" s="4"/>
      <c r="N127" s="4"/>
      <c r="O127" s="4"/>
    </row>
    <row r="128">
      <c r="A128" s="88"/>
      <c r="B128" s="89"/>
      <c r="C128" s="89"/>
      <c r="D128" s="89"/>
      <c r="E128" s="90"/>
      <c r="F128" s="90"/>
      <c r="G128" s="90"/>
      <c r="H128" s="90"/>
      <c r="I128" s="90"/>
      <c r="J128" s="4"/>
      <c r="K128" s="4"/>
      <c r="L128" s="4"/>
      <c r="M128" s="4"/>
      <c r="N128" s="4"/>
      <c r="O128" s="4"/>
    </row>
    <row r="129">
      <c r="A129" s="88"/>
      <c r="B129" s="89"/>
      <c r="C129" s="89"/>
      <c r="D129" s="89"/>
      <c r="E129" s="90"/>
      <c r="F129" s="90"/>
      <c r="G129" s="90"/>
      <c r="H129" s="90"/>
      <c r="I129" s="90"/>
      <c r="J129" s="4"/>
      <c r="K129" s="4"/>
      <c r="L129" s="4"/>
      <c r="M129" s="4"/>
      <c r="N129" s="4"/>
      <c r="O129" s="4"/>
    </row>
    <row r="130">
      <c r="A130" s="88"/>
      <c r="B130" s="89"/>
      <c r="C130" s="89"/>
      <c r="D130" s="89"/>
      <c r="E130" s="90"/>
      <c r="F130" s="90"/>
      <c r="G130" s="90"/>
      <c r="H130" s="90"/>
      <c r="I130" s="90"/>
      <c r="J130" s="4"/>
      <c r="K130" s="4"/>
      <c r="L130" s="4"/>
      <c r="M130" s="4"/>
      <c r="N130" s="4"/>
      <c r="O130" s="4"/>
    </row>
    <row r="131">
      <c r="A131" s="88"/>
      <c r="B131" s="89"/>
      <c r="C131" s="89"/>
      <c r="D131" s="89"/>
      <c r="E131" s="90"/>
      <c r="F131" s="90"/>
      <c r="G131" s="90"/>
      <c r="H131" s="90"/>
      <c r="I131" s="90"/>
      <c r="J131" s="4"/>
      <c r="K131" s="4"/>
      <c r="L131" s="4"/>
      <c r="M131" s="4"/>
      <c r="N131" s="4"/>
      <c r="O131" s="4"/>
    </row>
    <row r="132">
      <c r="A132" s="88"/>
      <c r="B132" s="89"/>
      <c r="C132" s="89"/>
      <c r="D132" s="89"/>
      <c r="E132" s="90"/>
      <c r="F132" s="90"/>
      <c r="G132" s="90"/>
      <c r="H132" s="90"/>
      <c r="I132" s="90"/>
      <c r="J132" s="4"/>
      <c r="K132" s="4"/>
      <c r="L132" s="4"/>
      <c r="M132" s="4"/>
      <c r="N132" s="4"/>
      <c r="O132" s="4"/>
    </row>
    <row r="133">
      <c r="A133" s="88"/>
      <c r="B133" s="89"/>
      <c r="C133" s="89"/>
      <c r="D133" s="89"/>
      <c r="E133" s="90"/>
      <c r="F133" s="90"/>
      <c r="G133" s="90"/>
      <c r="H133" s="90"/>
      <c r="I133" s="90"/>
      <c r="J133" s="4"/>
      <c r="K133" s="4"/>
      <c r="L133" s="4"/>
      <c r="M133" s="4"/>
      <c r="N133" s="4"/>
      <c r="O133" s="4"/>
    </row>
    <row r="134">
      <c r="A134" s="88"/>
      <c r="B134" s="89"/>
      <c r="C134" s="89"/>
      <c r="D134" s="89"/>
      <c r="E134" s="90"/>
      <c r="F134" s="90"/>
      <c r="G134" s="90"/>
      <c r="H134" s="90"/>
      <c r="I134" s="90"/>
      <c r="J134" s="4"/>
      <c r="K134" s="4"/>
      <c r="L134" s="4"/>
      <c r="M134" s="4"/>
      <c r="N134" s="4"/>
      <c r="O134" s="4"/>
    </row>
    <row r="135">
      <c r="A135" s="88"/>
      <c r="B135" s="89"/>
      <c r="C135" s="89"/>
      <c r="D135" s="89"/>
      <c r="E135" s="90"/>
      <c r="F135" s="90"/>
      <c r="G135" s="90"/>
      <c r="H135" s="90"/>
      <c r="I135" s="90"/>
      <c r="J135" s="4"/>
      <c r="K135" s="4"/>
      <c r="L135" s="4"/>
      <c r="M135" s="4"/>
      <c r="N135" s="4"/>
      <c r="O135" s="4"/>
    </row>
    <row r="136">
      <c r="A136" s="88"/>
      <c r="B136" s="89"/>
      <c r="C136" s="89"/>
      <c r="D136" s="89"/>
      <c r="E136" s="90"/>
      <c r="F136" s="90"/>
      <c r="G136" s="90"/>
      <c r="H136" s="90"/>
      <c r="I136" s="90"/>
      <c r="J136" s="4"/>
      <c r="K136" s="4"/>
      <c r="L136" s="4"/>
      <c r="M136" s="4"/>
      <c r="N136" s="4"/>
      <c r="O136" s="4"/>
    </row>
    <row r="137">
      <c r="A137" s="88"/>
      <c r="B137" s="89"/>
      <c r="C137" s="89"/>
      <c r="D137" s="89"/>
      <c r="E137" s="90"/>
      <c r="F137" s="90"/>
      <c r="G137" s="90"/>
      <c r="H137" s="90"/>
      <c r="I137" s="90"/>
      <c r="J137" s="4"/>
      <c r="K137" s="4"/>
      <c r="L137" s="4"/>
      <c r="M137" s="4"/>
      <c r="N137" s="4"/>
      <c r="O137" s="4"/>
    </row>
    <row r="138">
      <c r="A138" s="88"/>
      <c r="B138" s="89"/>
      <c r="C138" s="89"/>
      <c r="D138" s="89"/>
      <c r="E138" s="90"/>
      <c r="F138" s="90"/>
      <c r="G138" s="90"/>
      <c r="H138" s="90"/>
      <c r="I138" s="90"/>
      <c r="J138" s="4"/>
      <c r="K138" s="4"/>
      <c r="L138" s="4"/>
      <c r="M138" s="4"/>
      <c r="N138" s="4"/>
      <c r="O138" s="4"/>
    </row>
    <row r="139">
      <c r="A139" s="88"/>
      <c r="B139" s="89"/>
      <c r="C139" s="89"/>
      <c r="D139" s="89"/>
      <c r="E139" s="90"/>
      <c r="F139" s="90"/>
      <c r="G139" s="90"/>
      <c r="H139" s="90"/>
      <c r="I139" s="90"/>
      <c r="J139" s="4"/>
      <c r="K139" s="4"/>
      <c r="L139" s="4"/>
      <c r="M139" s="4"/>
      <c r="N139" s="4"/>
      <c r="O139" s="4"/>
    </row>
    <row r="140">
      <c r="A140" s="88"/>
      <c r="B140" s="89"/>
      <c r="C140" s="89"/>
      <c r="D140" s="89"/>
      <c r="E140" s="90"/>
      <c r="F140" s="90"/>
      <c r="G140" s="90"/>
      <c r="H140" s="90"/>
      <c r="I140" s="90"/>
      <c r="J140" s="4"/>
      <c r="K140" s="4"/>
      <c r="L140" s="4"/>
      <c r="M140" s="4"/>
      <c r="N140" s="4"/>
      <c r="O140" s="4"/>
    </row>
    <row r="141">
      <c r="A141" s="88"/>
      <c r="B141" s="89"/>
      <c r="C141" s="89"/>
      <c r="D141" s="89"/>
      <c r="E141" s="90"/>
      <c r="F141" s="90"/>
      <c r="G141" s="90"/>
      <c r="H141" s="90"/>
      <c r="I141" s="90"/>
      <c r="J141" s="4"/>
      <c r="K141" s="4"/>
      <c r="L141" s="4"/>
      <c r="M141" s="4"/>
      <c r="N141" s="4"/>
      <c r="O141" s="4"/>
    </row>
    <row r="142">
      <c r="A142" s="88"/>
      <c r="B142" s="89"/>
      <c r="C142" s="89"/>
      <c r="D142" s="89"/>
      <c r="E142" s="90"/>
      <c r="F142" s="90"/>
      <c r="G142" s="90"/>
      <c r="H142" s="90"/>
      <c r="I142" s="90"/>
      <c r="J142" s="4"/>
      <c r="K142" s="4"/>
      <c r="L142" s="4"/>
      <c r="M142" s="4"/>
      <c r="N142" s="4"/>
      <c r="O142" s="4"/>
    </row>
    <row r="143">
      <c r="A143" s="88"/>
      <c r="B143" s="89"/>
      <c r="C143" s="89"/>
      <c r="D143" s="89"/>
      <c r="E143" s="90"/>
      <c r="F143" s="90"/>
      <c r="G143" s="90"/>
      <c r="H143" s="90"/>
      <c r="I143" s="90"/>
      <c r="J143" s="4"/>
      <c r="K143" s="4"/>
      <c r="L143" s="4"/>
      <c r="M143" s="4"/>
      <c r="N143" s="4"/>
      <c r="O143" s="4"/>
    </row>
    <row r="144">
      <c r="A144" s="88"/>
      <c r="B144" s="89"/>
      <c r="C144" s="89"/>
      <c r="D144" s="89"/>
      <c r="E144" s="90"/>
      <c r="F144" s="90"/>
      <c r="G144" s="90"/>
      <c r="H144" s="90"/>
      <c r="I144" s="90"/>
      <c r="J144" s="4"/>
      <c r="K144" s="4"/>
      <c r="L144" s="4"/>
      <c r="M144" s="4"/>
      <c r="N144" s="4"/>
      <c r="O144" s="4"/>
    </row>
    <row r="145">
      <c r="A145" s="88"/>
      <c r="B145" s="89"/>
      <c r="C145" s="89"/>
      <c r="D145" s="89"/>
      <c r="E145" s="90"/>
      <c r="F145" s="90"/>
      <c r="G145" s="90"/>
      <c r="H145" s="90"/>
      <c r="I145" s="90"/>
      <c r="J145" s="4"/>
      <c r="K145" s="4"/>
      <c r="L145" s="4"/>
      <c r="M145" s="4"/>
      <c r="N145" s="4"/>
      <c r="O145" s="4"/>
    </row>
    <row r="146">
      <c r="A146" s="88"/>
      <c r="B146" s="89"/>
      <c r="C146" s="89"/>
      <c r="D146" s="89"/>
      <c r="E146" s="90"/>
      <c r="F146" s="90"/>
      <c r="G146" s="90"/>
      <c r="H146" s="90"/>
      <c r="I146" s="90"/>
      <c r="J146" s="4"/>
      <c r="K146" s="4"/>
      <c r="L146" s="4"/>
      <c r="M146" s="4"/>
      <c r="N146" s="4"/>
      <c r="O146" s="4"/>
    </row>
    <row r="147">
      <c r="A147" s="88"/>
      <c r="B147" s="89"/>
      <c r="C147" s="89"/>
      <c r="D147" s="89"/>
      <c r="E147" s="90"/>
      <c r="F147" s="90"/>
      <c r="G147" s="90"/>
      <c r="H147" s="90"/>
      <c r="I147" s="90"/>
      <c r="J147" s="4"/>
      <c r="K147" s="4"/>
      <c r="L147" s="4"/>
      <c r="M147" s="4"/>
      <c r="N147" s="4"/>
      <c r="O147" s="4"/>
    </row>
    <row r="148">
      <c r="A148" s="88"/>
      <c r="B148" s="89"/>
      <c r="C148" s="89"/>
      <c r="D148" s="89"/>
      <c r="E148" s="90"/>
      <c r="F148" s="90"/>
      <c r="G148" s="90"/>
      <c r="H148" s="90"/>
      <c r="I148" s="90"/>
      <c r="J148" s="4"/>
      <c r="K148" s="4"/>
      <c r="L148" s="4"/>
      <c r="M148" s="4"/>
      <c r="N148" s="4"/>
      <c r="O148" s="4"/>
    </row>
    <row r="149">
      <c r="A149" s="88"/>
      <c r="B149" s="89"/>
      <c r="C149" s="89"/>
      <c r="D149" s="89"/>
      <c r="E149" s="90"/>
      <c r="F149" s="90"/>
      <c r="G149" s="90"/>
      <c r="H149" s="90"/>
      <c r="I149" s="90"/>
      <c r="J149" s="4"/>
      <c r="K149" s="4"/>
      <c r="L149" s="4"/>
      <c r="M149" s="4"/>
      <c r="N149" s="4"/>
      <c r="O149" s="4"/>
    </row>
    <row r="150">
      <c r="A150" s="88"/>
      <c r="B150" s="89"/>
      <c r="C150" s="89"/>
      <c r="D150" s="89"/>
      <c r="E150" s="90"/>
      <c r="F150" s="90"/>
      <c r="G150" s="90"/>
      <c r="H150" s="90"/>
      <c r="I150" s="90"/>
      <c r="J150" s="4"/>
      <c r="K150" s="4"/>
      <c r="L150" s="4"/>
      <c r="M150" s="4"/>
      <c r="N150" s="4"/>
      <c r="O150" s="4"/>
    </row>
    <row r="151">
      <c r="A151" s="88"/>
      <c r="B151" s="89"/>
      <c r="C151" s="89"/>
      <c r="D151" s="89"/>
      <c r="E151" s="90"/>
      <c r="F151" s="90"/>
      <c r="G151" s="90"/>
      <c r="H151" s="90"/>
      <c r="I151" s="90"/>
      <c r="J151" s="4"/>
      <c r="K151" s="4"/>
      <c r="L151" s="4"/>
      <c r="M151" s="4"/>
      <c r="N151" s="4"/>
      <c r="O151" s="4"/>
    </row>
    <row r="152">
      <c r="A152" s="88"/>
      <c r="B152" s="89"/>
      <c r="C152" s="89"/>
      <c r="D152" s="89"/>
      <c r="E152" s="90"/>
      <c r="F152" s="90"/>
      <c r="G152" s="90"/>
      <c r="H152" s="90"/>
      <c r="I152" s="90"/>
      <c r="J152" s="4"/>
      <c r="K152" s="4"/>
      <c r="L152" s="4"/>
      <c r="M152" s="4"/>
      <c r="N152" s="4"/>
      <c r="O152" s="4"/>
    </row>
    <row r="153">
      <c r="A153" s="88"/>
      <c r="B153" s="89"/>
      <c r="C153" s="89"/>
      <c r="D153" s="89"/>
      <c r="E153" s="90"/>
      <c r="F153" s="90"/>
      <c r="G153" s="90"/>
      <c r="H153" s="90"/>
      <c r="I153" s="90"/>
      <c r="J153" s="4"/>
      <c r="K153" s="4"/>
      <c r="L153" s="4"/>
      <c r="M153" s="4"/>
      <c r="N153" s="4"/>
      <c r="O153" s="4"/>
    </row>
    <row r="154">
      <c r="A154" s="88"/>
      <c r="B154" s="89"/>
      <c r="C154" s="89"/>
      <c r="D154" s="89"/>
      <c r="E154" s="90"/>
      <c r="F154" s="90"/>
      <c r="G154" s="90"/>
      <c r="H154" s="90"/>
      <c r="I154" s="90"/>
      <c r="J154" s="4"/>
      <c r="K154" s="4"/>
      <c r="L154" s="4"/>
      <c r="M154" s="4"/>
      <c r="N154" s="4"/>
      <c r="O154" s="4"/>
    </row>
    <row r="155">
      <c r="A155" s="88"/>
      <c r="B155" s="89"/>
      <c r="C155" s="89"/>
      <c r="D155" s="89"/>
      <c r="E155" s="90"/>
      <c r="F155" s="90"/>
      <c r="G155" s="90"/>
      <c r="H155" s="90"/>
      <c r="I155" s="90"/>
      <c r="J155" s="4"/>
      <c r="K155" s="4"/>
      <c r="L155" s="4"/>
      <c r="M155" s="4"/>
      <c r="N155" s="4"/>
      <c r="O155" s="4"/>
    </row>
    <row r="156">
      <c r="A156" s="88"/>
      <c r="B156" s="89"/>
      <c r="C156" s="89"/>
      <c r="D156" s="89"/>
      <c r="E156" s="90"/>
      <c r="F156" s="90"/>
      <c r="G156" s="90"/>
      <c r="H156" s="90"/>
      <c r="I156" s="90"/>
      <c r="J156" s="4"/>
      <c r="K156" s="4"/>
      <c r="L156" s="4"/>
      <c r="M156" s="4"/>
      <c r="N156" s="4"/>
      <c r="O156" s="4"/>
    </row>
    <row r="157">
      <c r="A157" s="88"/>
      <c r="B157" s="89"/>
      <c r="C157" s="89"/>
      <c r="D157" s="89"/>
      <c r="E157" s="90"/>
      <c r="F157" s="90"/>
      <c r="G157" s="90"/>
      <c r="H157" s="90"/>
      <c r="I157" s="90"/>
      <c r="J157" s="4"/>
      <c r="K157" s="4"/>
      <c r="L157" s="4"/>
      <c r="M157" s="4"/>
      <c r="N157" s="4"/>
      <c r="O157" s="4"/>
    </row>
    <row r="158">
      <c r="A158" s="88"/>
      <c r="B158" s="89"/>
      <c r="C158" s="89"/>
      <c r="D158" s="89"/>
      <c r="E158" s="90"/>
      <c r="F158" s="90"/>
      <c r="G158" s="90"/>
      <c r="H158" s="90"/>
      <c r="I158" s="90"/>
      <c r="J158" s="4"/>
      <c r="K158" s="4"/>
      <c r="L158" s="4"/>
      <c r="M158" s="4"/>
      <c r="N158" s="4"/>
      <c r="O158" s="4"/>
    </row>
    <row r="159">
      <c r="A159" s="88"/>
      <c r="B159" s="89"/>
      <c r="C159" s="89"/>
      <c r="D159" s="89"/>
      <c r="E159" s="90"/>
      <c r="F159" s="90"/>
      <c r="G159" s="90"/>
      <c r="H159" s="90"/>
      <c r="I159" s="90"/>
      <c r="J159" s="4"/>
      <c r="K159" s="4"/>
      <c r="L159" s="4"/>
      <c r="M159" s="4"/>
      <c r="N159" s="4"/>
      <c r="O159" s="4"/>
    </row>
    <row r="160">
      <c r="A160" s="88"/>
      <c r="B160" s="89"/>
      <c r="C160" s="89"/>
      <c r="D160" s="89"/>
      <c r="E160" s="90"/>
      <c r="F160" s="90"/>
      <c r="G160" s="90"/>
      <c r="H160" s="90"/>
      <c r="I160" s="90"/>
      <c r="J160" s="4"/>
      <c r="K160" s="4"/>
      <c r="L160" s="4"/>
      <c r="M160" s="4"/>
      <c r="N160" s="4"/>
      <c r="O160" s="4"/>
    </row>
    <row r="161">
      <c r="A161" s="88"/>
      <c r="B161" s="89"/>
      <c r="C161" s="89"/>
      <c r="D161" s="89"/>
      <c r="E161" s="90"/>
      <c r="F161" s="90"/>
      <c r="G161" s="90"/>
      <c r="H161" s="90"/>
      <c r="I161" s="90"/>
      <c r="J161" s="4"/>
      <c r="K161" s="4"/>
      <c r="L161" s="4"/>
      <c r="M161" s="4"/>
      <c r="N161" s="4"/>
      <c r="O161" s="4"/>
    </row>
    <row r="162">
      <c r="A162" s="88"/>
      <c r="B162" s="89"/>
      <c r="C162" s="89"/>
      <c r="D162" s="89"/>
      <c r="E162" s="90"/>
      <c r="F162" s="90"/>
      <c r="G162" s="90"/>
      <c r="H162" s="90"/>
      <c r="I162" s="90"/>
      <c r="J162" s="4"/>
      <c r="K162" s="4"/>
      <c r="L162" s="4"/>
      <c r="M162" s="4"/>
      <c r="N162" s="4"/>
      <c r="O162" s="4"/>
    </row>
    <row r="163">
      <c r="A163" s="88"/>
      <c r="B163" s="89"/>
      <c r="C163" s="89"/>
      <c r="D163" s="89"/>
      <c r="E163" s="90"/>
      <c r="F163" s="90"/>
      <c r="G163" s="90"/>
      <c r="H163" s="90"/>
      <c r="I163" s="90"/>
      <c r="J163" s="4"/>
      <c r="K163" s="4"/>
      <c r="L163" s="4"/>
      <c r="M163" s="4"/>
      <c r="N163" s="4"/>
      <c r="O163" s="4"/>
    </row>
    <row r="164">
      <c r="A164" s="88"/>
      <c r="B164" s="89"/>
      <c r="C164" s="89"/>
      <c r="D164" s="89"/>
      <c r="E164" s="90"/>
      <c r="F164" s="90"/>
      <c r="G164" s="90"/>
      <c r="H164" s="90"/>
      <c r="I164" s="90"/>
      <c r="J164" s="4"/>
      <c r="K164" s="4"/>
      <c r="L164" s="4"/>
      <c r="M164" s="4"/>
      <c r="N164" s="4"/>
      <c r="O164" s="4"/>
    </row>
    <row r="165">
      <c r="A165" s="88"/>
      <c r="B165" s="89"/>
      <c r="C165" s="89"/>
      <c r="D165" s="89"/>
      <c r="E165" s="90"/>
      <c r="F165" s="90"/>
      <c r="G165" s="90"/>
      <c r="H165" s="90"/>
      <c r="I165" s="90"/>
      <c r="J165" s="4"/>
      <c r="K165" s="4"/>
      <c r="L165" s="4"/>
      <c r="M165" s="4"/>
      <c r="N165" s="4"/>
      <c r="O165" s="4"/>
    </row>
    <row r="166">
      <c r="A166" s="88"/>
      <c r="B166" s="89"/>
      <c r="C166" s="89"/>
      <c r="D166" s="89"/>
      <c r="E166" s="90"/>
      <c r="F166" s="90"/>
      <c r="G166" s="90"/>
      <c r="H166" s="90"/>
      <c r="I166" s="90"/>
      <c r="J166" s="4"/>
      <c r="K166" s="4"/>
      <c r="L166" s="4"/>
      <c r="M166" s="4"/>
      <c r="N166" s="4"/>
      <c r="O166" s="4"/>
    </row>
    <row r="167">
      <c r="A167" s="88"/>
      <c r="B167" s="89"/>
      <c r="C167" s="89"/>
      <c r="D167" s="89"/>
      <c r="E167" s="90"/>
      <c r="F167" s="90"/>
      <c r="G167" s="90"/>
      <c r="H167" s="90"/>
      <c r="I167" s="90"/>
      <c r="J167" s="4"/>
      <c r="K167" s="4"/>
      <c r="L167" s="4"/>
      <c r="M167" s="4"/>
      <c r="N167" s="4"/>
      <c r="O167" s="4"/>
    </row>
    <row r="168">
      <c r="A168" s="88"/>
      <c r="B168" s="89"/>
      <c r="C168" s="89"/>
      <c r="D168" s="89"/>
      <c r="E168" s="90"/>
      <c r="F168" s="90"/>
      <c r="G168" s="90"/>
      <c r="H168" s="90"/>
      <c r="I168" s="90"/>
      <c r="J168" s="4"/>
      <c r="K168" s="4"/>
      <c r="L168" s="4"/>
      <c r="M168" s="4"/>
      <c r="N168" s="4"/>
      <c r="O168" s="4"/>
    </row>
    <row r="169">
      <c r="A169" s="88"/>
      <c r="B169" s="89"/>
      <c r="C169" s="89"/>
      <c r="D169" s="89"/>
      <c r="E169" s="90"/>
      <c r="F169" s="90"/>
      <c r="G169" s="90"/>
      <c r="H169" s="90"/>
      <c r="I169" s="90"/>
      <c r="J169" s="4"/>
      <c r="K169" s="4"/>
      <c r="L169" s="4"/>
      <c r="M169" s="4"/>
      <c r="N169" s="4"/>
      <c r="O169" s="4"/>
    </row>
    <row r="170">
      <c r="A170" s="88"/>
      <c r="B170" s="89"/>
      <c r="C170" s="89"/>
      <c r="D170" s="89"/>
      <c r="E170" s="90"/>
      <c r="F170" s="90"/>
      <c r="G170" s="90"/>
      <c r="H170" s="90"/>
      <c r="I170" s="90"/>
      <c r="J170" s="4"/>
      <c r="K170" s="4"/>
      <c r="L170" s="4"/>
      <c r="M170" s="4"/>
      <c r="N170" s="4"/>
      <c r="O170" s="4"/>
    </row>
    <row r="171">
      <c r="A171" s="88"/>
      <c r="B171" s="89"/>
      <c r="C171" s="89"/>
      <c r="D171" s="89"/>
      <c r="E171" s="90"/>
      <c r="F171" s="90"/>
      <c r="G171" s="90"/>
      <c r="H171" s="90"/>
      <c r="I171" s="90"/>
      <c r="J171" s="4"/>
      <c r="K171" s="4"/>
      <c r="L171" s="4"/>
      <c r="M171" s="4"/>
      <c r="N171" s="4"/>
      <c r="O171" s="4"/>
    </row>
    <row r="172">
      <c r="A172" s="88"/>
      <c r="B172" s="89"/>
      <c r="C172" s="89"/>
      <c r="D172" s="89"/>
      <c r="E172" s="90"/>
      <c r="F172" s="90"/>
      <c r="G172" s="90"/>
      <c r="H172" s="90"/>
      <c r="I172" s="90"/>
      <c r="J172" s="4"/>
      <c r="K172" s="4"/>
      <c r="L172" s="4"/>
      <c r="M172" s="4"/>
      <c r="N172" s="4"/>
      <c r="O172" s="4"/>
    </row>
    <row r="173">
      <c r="A173" s="88"/>
      <c r="B173" s="89"/>
      <c r="C173" s="89"/>
      <c r="D173" s="89"/>
      <c r="E173" s="90"/>
      <c r="F173" s="90"/>
      <c r="G173" s="90"/>
      <c r="H173" s="90"/>
      <c r="I173" s="90"/>
      <c r="J173" s="4"/>
      <c r="K173" s="4"/>
      <c r="L173" s="4"/>
      <c r="M173" s="4"/>
      <c r="N173" s="4"/>
      <c r="O173" s="4"/>
    </row>
    <row r="174">
      <c r="A174" s="88"/>
      <c r="B174" s="89"/>
      <c r="C174" s="89"/>
      <c r="D174" s="89"/>
      <c r="E174" s="90"/>
      <c r="F174" s="90"/>
      <c r="G174" s="90"/>
      <c r="H174" s="90"/>
      <c r="I174" s="90"/>
      <c r="J174" s="4"/>
      <c r="K174" s="4"/>
      <c r="L174" s="4"/>
      <c r="M174" s="4"/>
      <c r="N174" s="4"/>
      <c r="O174" s="4"/>
    </row>
    <row r="175">
      <c r="A175" s="88"/>
      <c r="B175" s="89"/>
      <c r="C175" s="89"/>
      <c r="D175" s="89"/>
      <c r="E175" s="90"/>
      <c r="F175" s="90"/>
      <c r="G175" s="90"/>
      <c r="H175" s="90"/>
      <c r="I175" s="90"/>
      <c r="J175" s="4"/>
      <c r="K175" s="4"/>
      <c r="L175" s="4"/>
      <c r="M175" s="4"/>
      <c r="N175" s="4"/>
      <c r="O175" s="4"/>
    </row>
    <row r="176">
      <c r="A176" s="88"/>
      <c r="B176" s="89"/>
      <c r="C176" s="89"/>
      <c r="D176" s="89"/>
      <c r="E176" s="90"/>
      <c r="F176" s="90"/>
      <c r="G176" s="90"/>
      <c r="H176" s="90"/>
      <c r="I176" s="90"/>
      <c r="J176" s="4"/>
      <c r="K176" s="4"/>
      <c r="L176" s="4"/>
      <c r="M176" s="4"/>
      <c r="N176" s="4"/>
      <c r="O176" s="4"/>
    </row>
    <row r="177">
      <c r="A177" s="88"/>
      <c r="B177" s="89"/>
      <c r="C177" s="89"/>
      <c r="D177" s="89"/>
      <c r="E177" s="90"/>
      <c r="F177" s="90"/>
      <c r="G177" s="90"/>
      <c r="H177" s="90"/>
      <c r="I177" s="90"/>
      <c r="J177" s="4"/>
      <c r="K177" s="4"/>
      <c r="L177" s="4"/>
      <c r="M177" s="4"/>
      <c r="N177" s="4"/>
      <c r="O177" s="4"/>
    </row>
    <row r="178">
      <c r="A178" s="88"/>
      <c r="B178" s="89"/>
      <c r="C178" s="89"/>
      <c r="D178" s="89"/>
      <c r="E178" s="90"/>
      <c r="F178" s="90"/>
      <c r="G178" s="90"/>
      <c r="H178" s="90"/>
      <c r="I178" s="90"/>
      <c r="J178" s="4"/>
      <c r="K178" s="4"/>
      <c r="L178" s="4"/>
      <c r="M178" s="4"/>
      <c r="N178" s="4"/>
      <c r="O178" s="4"/>
    </row>
    <row r="179">
      <c r="A179" s="88"/>
      <c r="B179" s="89"/>
      <c r="C179" s="89"/>
      <c r="D179" s="89"/>
      <c r="E179" s="90"/>
      <c r="F179" s="90"/>
      <c r="G179" s="90"/>
      <c r="H179" s="90"/>
      <c r="I179" s="90"/>
      <c r="J179" s="4"/>
      <c r="K179" s="4"/>
      <c r="L179" s="4"/>
      <c r="M179" s="4"/>
      <c r="N179" s="4"/>
      <c r="O179" s="4"/>
    </row>
    <row r="180">
      <c r="A180" s="88"/>
      <c r="B180" s="89"/>
      <c r="C180" s="89"/>
      <c r="D180" s="89"/>
      <c r="E180" s="90"/>
      <c r="F180" s="90"/>
      <c r="G180" s="90"/>
      <c r="H180" s="90"/>
      <c r="I180" s="90"/>
      <c r="J180" s="4"/>
      <c r="K180" s="4"/>
      <c r="L180" s="4"/>
      <c r="M180" s="4"/>
      <c r="N180" s="4"/>
      <c r="O180" s="4"/>
    </row>
    <row r="181">
      <c r="A181" s="88"/>
      <c r="B181" s="89"/>
      <c r="C181" s="89"/>
      <c r="D181" s="89"/>
      <c r="E181" s="90"/>
      <c r="F181" s="90"/>
      <c r="G181" s="90"/>
      <c r="H181" s="90"/>
      <c r="I181" s="90"/>
      <c r="J181" s="4"/>
      <c r="K181" s="4"/>
      <c r="L181" s="4"/>
      <c r="M181" s="4"/>
      <c r="N181" s="4"/>
      <c r="O181" s="4"/>
    </row>
    <row r="182">
      <c r="A182" s="88"/>
      <c r="B182" s="89"/>
      <c r="C182" s="89"/>
      <c r="D182" s="89"/>
      <c r="E182" s="90"/>
      <c r="F182" s="90"/>
      <c r="G182" s="90"/>
      <c r="H182" s="90"/>
      <c r="I182" s="90"/>
      <c r="J182" s="4"/>
      <c r="K182" s="4"/>
      <c r="L182" s="4"/>
      <c r="M182" s="4"/>
      <c r="N182" s="4"/>
      <c r="O182" s="4"/>
    </row>
    <row r="183">
      <c r="A183" s="88"/>
      <c r="B183" s="89"/>
      <c r="C183" s="89"/>
      <c r="D183" s="89"/>
      <c r="E183" s="90"/>
      <c r="F183" s="90"/>
      <c r="G183" s="90"/>
      <c r="H183" s="90"/>
      <c r="I183" s="90"/>
      <c r="J183" s="4"/>
      <c r="K183" s="4"/>
      <c r="L183" s="4"/>
      <c r="M183" s="4"/>
      <c r="N183" s="4"/>
      <c r="O183" s="4"/>
    </row>
    <row r="184">
      <c r="A184" s="88"/>
      <c r="B184" s="89"/>
      <c r="C184" s="89"/>
      <c r="D184" s="89"/>
      <c r="E184" s="90"/>
      <c r="F184" s="90"/>
      <c r="G184" s="90"/>
      <c r="H184" s="90"/>
      <c r="I184" s="90"/>
      <c r="J184" s="4"/>
      <c r="K184" s="4"/>
      <c r="L184" s="4"/>
      <c r="M184" s="4"/>
      <c r="N184" s="4"/>
      <c r="O184" s="4"/>
    </row>
    <row r="185">
      <c r="A185" s="88"/>
      <c r="B185" s="89"/>
      <c r="C185" s="89"/>
      <c r="D185" s="89"/>
      <c r="E185" s="90"/>
      <c r="F185" s="90"/>
      <c r="G185" s="90"/>
      <c r="H185" s="90"/>
      <c r="I185" s="90"/>
      <c r="J185" s="4"/>
      <c r="K185" s="4"/>
      <c r="L185" s="4"/>
      <c r="M185" s="4"/>
      <c r="N185" s="4"/>
      <c r="O185" s="4"/>
    </row>
    <row r="186">
      <c r="A186" s="88"/>
      <c r="B186" s="89"/>
      <c r="C186" s="89"/>
      <c r="D186" s="89"/>
      <c r="E186" s="90"/>
      <c r="F186" s="90"/>
      <c r="G186" s="90"/>
      <c r="H186" s="90"/>
      <c r="I186" s="90"/>
      <c r="J186" s="4"/>
      <c r="K186" s="4"/>
      <c r="L186" s="4"/>
      <c r="M186" s="4"/>
      <c r="N186" s="4"/>
      <c r="O186" s="4"/>
    </row>
    <row r="187">
      <c r="A187" s="88"/>
      <c r="B187" s="89"/>
      <c r="C187" s="89"/>
      <c r="D187" s="89"/>
      <c r="E187" s="90"/>
      <c r="F187" s="90"/>
      <c r="G187" s="90"/>
      <c r="H187" s="90"/>
      <c r="I187" s="90"/>
      <c r="J187" s="4"/>
      <c r="K187" s="4"/>
      <c r="L187" s="4"/>
      <c r="M187" s="4"/>
      <c r="N187" s="4"/>
      <c r="O187" s="4"/>
    </row>
    <row r="188">
      <c r="A188" s="88"/>
      <c r="B188" s="89"/>
      <c r="C188" s="89"/>
      <c r="D188" s="89"/>
      <c r="E188" s="90"/>
      <c r="F188" s="90"/>
      <c r="G188" s="90"/>
      <c r="H188" s="90"/>
      <c r="I188" s="90"/>
      <c r="J188" s="4"/>
      <c r="K188" s="4"/>
      <c r="L188" s="4"/>
      <c r="M188" s="4"/>
      <c r="N188" s="4"/>
      <c r="O188" s="4"/>
    </row>
    <row r="189">
      <c r="A189" s="88"/>
      <c r="B189" s="89"/>
      <c r="C189" s="89"/>
      <c r="D189" s="89"/>
      <c r="E189" s="90"/>
      <c r="F189" s="90"/>
      <c r="G189" s="90"/>
      <c r="H189" s="90"/>
      <c r="I189" s="90"/>
      <c r="J189" s="4"/>
      <c r="K189" s="4"/>
      <c r="L189" s="4"/>
      <c r="M189" s="4"/>
      <c r="N189" s="4"/>
      <c r="O189" s="4"/>
    </row>
    <row r="190">
      <c r="A190" s="88"/>
      <c r="B190" s="89"/>
      <c r="C190" s="89"/>
      <c r="D190" s="89"/>
      <c r="E190" s="90"/>
      <c r="F190" s="90"/>
      <c r="G190" s="90"/>
      <c r="H190" s="90"/>
      <c r="I190" s="90"/>
      <c r="J190" s="4"/>
      <c r="K190" s="4"/>
      <c r="L190" s="4"/>
      <c r="M190" s="4"/>
      <c r="N190" s="4"/>
      <c r="O190" s="4"/>
    </row>
    <row r="191">
      <c r="A191" s="88"/>
      <c r="B191" s="89"/>
      <c r="C191" s="89"/>
      <c r="D191" s="89"/>
      <c r="E191" s="90"/>
      <c r="F191" s="90"/>
      <c r="G191" s="90"/>
      <c r="H191" s="90"/>
      <c r="I191" s="90"/>
      <c r="J191" s="4"/>
      <c r="K191" s="4"/>
      <c r="L191" s="4"/>
      <c r="M191" s="4"/>
      <c r="N191" s="4"/>
      <c r="O191" s="4"/>
    </row>
    <row r="192">
      <c r="A192" s="88"/>
      <c r="B192" s="89"/>
      <c r="C192" s="89"/>
      <c r="D192" s="89"/>
      <c r="E192" s="90"/>
      <c r="F192" s="90"/>
      <c r="G192" s="90"/>
      <c r="H192" s="90"/>
      <c r="I192" s="90"/>
      <c r="J192" s="4"/>
      <c r="K192" s="4"/>
      <c r="L192" s="4"/>
      <c r="M192" s="4"/>
      <c r="N192" s="4"/>
      <c r="O192" s="4"/>
    </row>
    <row r="193">
      <c r="A193" s="88"/>
      <c r="B193" s="89"/>
      <c r="C193" s="89"/>
      <c r="D193" s="89"/>
      <c r="E193" s="90"/>
      <c r="F193" s="90"/>
      <c r="G193" s="90"/>
      <c r="H193" s="90"/>
      <c r="I193" s="90"/>
      <c r="J193" s="4"/>
      <c r="K193" s="4"/>
      <c r="L193" s="4"/>
      <c r="M193" s="4"/>
      <c r="N193" s="4"/>
      <c r="O193" s="4"/>
    </row>
    <row r="194">
      <c r="A194" s="88"/>
      <c r="B194" s="89"/>
      <c r="C194" s="89"/>
      <c r="D194" s="89"/>
      <c r="E194" s="90"/>
      <c r="F194" s="90"/>
      <c r="G194" s="90"/>
      <c r="H194" s="90"/>
      <c r="I194" s="90"/>
      <c r="J194" s="4"/>
      <c r="K194" s="4"/>
      <c r="L194" s="4"/>
      <c r="M194" s="4"/>
      <c r="N194" s="4"/>
      <c r="O194" s="4"/>
    </row>
    <row r="195">
      <c r="A195" s="88"/>
      <c r="B195" s="89"/>
      <c r="C195" s="89"/>
      <c r="D195" s="89"/>
      <c r="E195" s="90"/>
      <c r="F195" s="90"/>
      <c r="G195" s="90"/>
      <c r="H195" s="90"/>
      <c r="I195" s="90"/>
      <c r="J195" s="4"/>
      <c r="K195" s="4"/>
      <c r="L195" s="4"/>
      <c r="M195" s="4"/>
      <c r="N195" s="4"/>
      <c r="O195" s="4"/>
    </row>
    <row r="196">
      <c r="A196" s="88"/>
      <c r="B196" s="89"/>
      <c r="C196" s="89"/>
      <c r="D196" s="89"/>
      <c r="E196" s="90"/>
      <c r="F196" s="90"/>
      <c r="G196" s="90"/>
      <c r="H196" s="90"/>
      <c r="I196" s="90"/>
      <c r="J196" s="4"/>
      <c r="K196" s="4"/>
      <c r="L196" s="4"/>
      <c r="M196" s="4"/>
      <c r="N196" s="4"/>
      <c r="O196" s="4"/>
    </row>
    <row r="197">
      <c r="A197" s="88"/>
      <c r="B197" s="89"/>
      <c r="C197" s="89"/>
      <c r="D197" s="89"/>
      <c r="E197" s="90"/>
      <c r="F197" s="90"/>
      <c r="G197" s="90"/>
      <c r="H197" s="90"/>
      <c r="I197" s="90"/>
      <c r="J197" s="4"/>
      <c r="K197" s="4"/>
      <c r="L197" s="4"/>
      <c r="M197" s="4"/>
      <c r="N197" s="4"/>
      <c r="O197" s="4"/>
    </row>
    <row r="198">
      <c r="A198" s="88"/>
      <c r="B198" s="89"/>
      <c r="C198" s="89"/>
      <c r="D198" s="89"/>
      <c r="E198" s="90"/>
      <c r="F198" s="90"/>
      <c r="G198" s="90"/>
      <c r="H198" s="90"/>
      <c r="I198" s="90"/>
      <c r="J198" s="4"/>
      <c r="K198" s="4"/>
      <c r="L198" s="4"/>
      <c r="M198" s="4"/>
      <c r="N198" s="4"/>
      <c r="O198" s="4"/>
    </row>
    <row r="199">
      <c r="A199" s="88"/>
      <c r="B199" s="89"/>
      <c r="C199" s="89"/>
      <c r="D199" s="89"/>
      <c r="E199" s="90"/>
      <c r="F199" s="90"/>
      <c r="G199" s="90"/>
      <c r="H199" s="90"/>
      <c r="I199" s="90"/>
      <c r="J199" s="4"/>
      <c r="K199" s="4"/>
      <c r="L199" s="4"/>
      <c r="M199" s="4"/>
      <c r="N199" s="4"/>
      <c r="O199" s="4"/>
    </row>
    <row r="200">
      <c r="A200" s="88"/>
      <c r="B200" s="89"/>
      <c r="C200" s="89"/>
      <c r="D200" s="89"/>
      <c r="E200" s="90"/>
      <c r="F200" s="90"/>
      <c r="G200" s="90"/>
      <c r="H200" s="90"/>
      <c r="I200" s="90"/>
      <c r="J200" s="4"/>
      <c r="K200" s="4"/>
      <c r="L200" s="4"/>
      <c r="M200" s="4"/>
      <c r="N200" s="4"/>
      <c r="O200" s="4"/>
    </row>
    <row r="201">
      <c r="A201" s="88"/>
      <c r="B201" s="89"/>
      <c r="C201" s="89"/>
      <c r="D201" s="89"/>
      <c r="E201" s="90"/>
      <c r="F201" s="90"/>
      <c r="G201" s="90"/>
      <c r="H201" s="90"/>
      <c r="I201" s="90"/>
      <c r="J201" s="4"/>
      <c r="K201" s="4"/>
      <c r="L201" s="4"/>
      <c r="M201" s="4"/>
      <c r="N201" s="4"/>
      <c r="O201" s="4"/>
    </row>
    <row r="202">
      <c r="A202" s="88"/>
      <c r="B202" s="89"/>
      <c r="C202" s="89"/>
      <c r="D202" s="89"/>
      <c r="E202" s="90"/>
      <c r="F202" s="90"/>
      <c r="G202" s="90"/>
      <c r="H202" s="90"/>
      <c r="I202" s="90"/>
      <c r="J202" s="4"/>
      <c r="K202" s="4"/>
      <c r="L202" s="4"/>
      <c r="M202" s="4"/>
      <c r="N202" s="4"/>
      <c r="O202" s="4"/>
    </row>
    <row r="203">
      <c r="A203" s="88"/>
      <c r="B203" s="89"/>
      <c r="C203" s="89"/>
      <c r="D203" s="89"/>
      <c r="E203" s="90"/>
      <c r="F203" s="90"/>
      <c r="G203" s="90"/>
      <c r="H203" s="90"/>
      <c r="I203" s="90"/>
      <c r="J203" s="4"/>
      <c r="K203" s="4"/>
      <c r="L203" s="4"/>
      <c r="M203" s="4"/>
      <c r="N203" s="4"/>
      <c r="O203" s="4"/>
    </row>
    <row r="204">
      <c r="A204" s="88"/>
      <c r="B204" s="89"/>
      <c r="C204" s="89"/>
      <c r="D204" s="89"/>
      <c r="E204" s="90"/>
      <c r="F204" s="90"/>
      <c r="G204" s="90"/>
      <c r="H204" s="90"/>
      <c r="I204" s="90"/>
      <c r="J204" s="4"/>
      <c r="K204" s="4"/>
      <c r="L204" s="4"/>
      <c r="M204" s="4"/>
      <c r="N204" s="4"/>
      <c r="O204" s="4"/>
    </row>
    <row r="205">
      <c r="A205" s="88"/>
      <c r="B205" s="89"/>
      <c r="C205" s="89"/>
      <c r="D205" s="89"/>
      <c r="E205" s="90"/>
      <c r="F205" s="90"/>
      <c r="G205" s="90"/>
      <c r="H205" s="90"/>
      <c r="I205" s="90"/>
      <c r="J205" s="4"/>
      <c r="K205" s="4"/>
      <c r="L205" s="4"/>
      <c r="M205" s="4"/>
      <c r="N205" s="4"/>
      <c r="O205" s="4"/>
    </row>
    <row r="206">
      <c r="A206" s="88"/>
      <c r="B206" s="89"/>
      <c r="C206" s="89"/>
      <c r="D206" s="89"/>
      <c r="E206" s="90"/>
      <c r="F206" s="90"/>
      <c r="G206" s="90"/>
      <c r="H206" s="90"/>
      <c r="I206" s="90"/>
      <c r="J206" s="4"/>
      <c r="K206" s="4"/>
      <c r="L206" s="4"/>
      <c r="M206" s="4"/>
      <c r="N206" s="4"/>
      <c r="O206" s="4"/>
    </row>
    <row r="207">
      <c r="A207" s="88"/>
      <c r="B207" s="89"/>
      <c r="C207" s="89"/>
      <c r="D207" s="89"/>
      <c r="E207" s="90"/>
      <c r="F207" s="90"/>
      <c r="G207" s="90"/>
      <c r="H207" s="90"/>
      <c r="I207" s="90"/>
      <c r="J207" s="4"/>
      <c r="K207" s="4"/>
      <c r="L207" s="4"/>
      <c r="M207" s="4"/>
      <c r="N207" s="4"/>
      <c r="O207" s="4"/>
    </row>
    <row r="208">
      <c r="A208" s="88"/>
      <c r="B208" s="89"/>
      <c r="C208" s="89"/>
      <c r="D208" s="89"/>
      <c r="E208" s="90"/>
      <c r="F208" s="90"/>
      <c r="G208" s="90"/>
      <c r="H208" s="90"/>
      <c r="I208" s="90"/>
      <c r="J208" s="4"/>
      <c r="K208" s="4"/>
      <c r="L208" s="4"/>
      <c r="M208" s="4"/>
      <c r="N208" s="4"/>
      <c r="O208" s="4"/>
    </row>
    <row r="209">
      <c r="A209" s="88"/>
      <c r="B209" s="89"/>
      <c r="C209" s="89"/>
      <c r="D209" s="89"/>
      <c r="E209" s="90"/>
      <c r="F209" s="90"/>
      <c r="G209" s="90"/>
      <c r="H209" s="90"/>
      <c r="I209" s="90"/>
      <c r="J209" s="4"/>
      <c r="K209" s="4"/>
      <c r="L209" s="4"/>
      <c r="M209" s="4"/>
      <c r="N209" s="4"/>
      <c r="O209" s="4"/>
    </row>
    <row r="210">
      <c r="A210" s="88"/>
      <c r="B210" s="89"/>
      <c r="C210" s="89"/>
      <c r="D210" s="89"/>
      <c r="E210" s="90"/>
      <c r="F210" s="90"/>
      <c r="G210" s="90"/>
      <c r="H210" s="90"/>
      <c r="I210" s="90"/>
      <c r="J210" s="4"/>
      <c r="K210" s="4"/>
      <c r="L210" s="4"/>
      <c r="M210" s="4"/>
      <c r="N210" s="4"/>
      <c r="O210" s="4"/>
    </row>
    <row r="211">
      <c r="A211" s="88"/>
      <c r="B211" s="89"/>
      <c r="C211" s="89"/>
      <c r="D211" s="89"/>
      <c r="E211" s="90"/>
      <c r="F211" s="90"/>
      <c r="G211" s="90"/>
      <c r="H211" s="90"/>
      <c r="I211" s="90"/>
      <c r="J211" s="4"/>
      <c r="K211" s="4"/>
      <c r="L211" s="4"/>
      <c r="M211" s="4"/>
      <c r="N211" s="4"/>
      <c r="O211" s="4"/>
    </row>
    <row r="212">
      <c r="A212" s="88"/>
      <c r="B212" s="89"/>
      <c r="C212" s="89"/>
      <c r="D212" s="89"/>
      <c r="E212" s="90"/>
      <c r="F212" s="90"/>
      <c r="G212" s="90"/>
      <c r="H212" s="90"/>
      <c r="I212" s="90"/>
      <c r="J212" s="4"/>
      <c r="K212" s="4"/>
      <c r="L212" s="4"/>
      <c r="M212" s="4"/>
      <c r="N212" s="4"/>
      <c r="O212" s="4"/>
    </row>
    <row r="213">
      <c r="A213" s="88"/>
      <c r="B213" s="89"/>
      <c r="C213" s="89"/>
      <c r="D213" s="89"/>
      <c r="E213" s="90"/>
      <c r="F213" s="90"/>
      <c r="G213" s="90"/>
      <c r="H213" s="90"/>
      <c r="I213" s="90"/>
      <c r="J213" s="4"/>
      <c r="K213" s="4"/>
      <c r="L213" s="4"/>
      <c r="M213" s="4"/>
      <c r="N213" s="4"/>
      <c r="O213" s="4"/>
    </row>
    <row r="214">
      <c r="A214" s="88"/>
      <c r="B214" s="89"/>
      <c r="C214" s="89"/>
      <c r="D214" s="89"/>
      <c r="E214" s="90"/>
      <c r="F214" s="90"/>
      <c r="G214" s="90"/>
      <c r="H214" s="90"/>
      <c r="I214" s="90"/>
      <c r="J214" s="4"/>
      <c r="K214" s="4"/>
      <c r="L214" s="4"/>
      <c r="M214" s="4"/>
      <c r="N214" s="4"/>
      <c r="O214" s="4"/>
    </row>
    <row r="215">
      <c r="A215" s="88"/>
      <c r="B215" s="89"/>
      <c r="C215" s="89"/>
      <c r="D215" s="89"/>
      <c r="E215" s="90"/>
      <c r="F215" s="90"/>
      <c r="G215" s="90"/>
      <c r="H215" s="90"/>
      <c r="I215" s="90"/>
      <c r="J215" s="4"/>
      <c r="K215" s="4"/>
      <c r="L215" s="4"/>
      <c r="M215" s="4"/>
      <c r="N215" s="4"/>
      <c r="O215" s="4"/>
    </row>
    <row r="216">
      <c r="A216" s="88"/>
      <c r="B216" s="89"/>
      <c r="C216" s="89"/>
      <c r="D216" s="89"/>
      <c r="E216" s="90"/>
      <c r="F216" s="90"/>
      <c r="G216" s="90"/>
      <c r="H216" s="90"/>
      <c r="I216" s="90"/>
      <c r="J216" s="4"/>
      <c r="K216" s="4"/>
      <c r="L216" s="4"/>
      <c r="M216" s="4"/>
      <c r="N216" s="4"/>
      <c r="O216" s="4"/>
    </row>
    <row r="217">
      <c r="A217" s="88"/>
      <c r="B217" s="89"/>
      <c r="C217" s="89"/>
      <c r="D217" s="89"/>
      <c r="E217" s="90"/>
      <c r="F217" s="90"/>
      <c r="G217" s="90"/>
      <c r="H217" s="90"/>
      <c r="I217" s="90"/>
      <c r="J217" s="4"/>
      <c r="K217" s="4"/>
      <c r="L217" s="4"/>
      <c r="M217" s="4"/>
      <c r="N217" s="4"/>
      <c r="O217" s="4"/>
    </row>
    <row r="218">
      <c r="A218" s="88"/>
      <c r="B218" s="89"/>
      <c r="C218" s="89"/>
      <c r="D218" s="89"/>
      <c r="E218" s="90"/>
      <c r="F218" s="90"/>
      <c r="G218" s="90"/>
      <c r="H218" s="90"/>
      <c r="I218" s="90"/>
      <c r="J218" s="4"/>
      <c r="K218" s="4"/>
      <c r="L218" s="4"/>
      <c r="M218" s="4"/>
      <c r="N218" s="4"/>
      <c r="O218" s="4"/>
    </row>
    <row r="219">
      <c r="A219" s="88"/>
      <c r="B219" s="89"/>
      <c r="C219" s="89"/>
      <c r="D219" s="89"/>
      <c r="E219" s="90"/>
      <c r="F219" s="90"/>
      <c r="G219" s="90"/>
      <c r="H219" s="90"/>
      <c r="I219" s="90"/>
      <c r="J219" s="4"/>
      <c r="K219" s="4"/>
      <c r="L219" s="4"/>
      <c r="M219" s="4"/>
      <c r="N219" s="4"/>
      <c r="O219" s="4"/>
    </row>
    <row r="220">
      <c r="A220" s="88"/>
      <c r="B220" s="89"/>
      <c r="C220" s="89"/>
      <c r="D220" s="89"/>
      <c r="E220" s="90"/>
      <c r="F220" s="90"/>
      <c r="G220" s="90"/>
      <c r="H220" s="90"/>
      <c r="I220" s="90"/>
      <c r="J220" s="4"/>
      <c r="K220" s="4"/>
      <c r="L220" s="4"/>
      <c r="M220" s="4"/>
      <c r="N220" s="4"/>
      <c r="O220" s="4"/>
    </row>
    <row r="221">
      <c r="A221" s="88"/>
      <c r="B221" s="89"/>
      <c r="C221" s="89"/>
      <c r="D221" s="89"/>
      <c r="E221" s="90"/>
      <c r="F221" s="90"/>
      <c r="G221" s="90"/>
      <c r="H221" s="90"/>
      <c r="I221" s="90"/>
      <c r="J221" s="4"/>
      <c r="K221" s="4"/>
      <c r="L221" s="4"/>
      <c r="M221" s="4"/>
      <c r="N221" s="4"/>
      <c r="O221" s="4"/>
    </row>
    <row r="222">
      <c r="A222" s="88"/>
      <c r="B222" s="89"/>
      <c r="C222" s="89"/>
      <c r="D222" s="89"/>
      <c r="E222" s="90"/>
      <c r="F222" s="90"/>
      <c r="G222" s="90"/>
      <c r="H222" s="90"/>
      <c r="I222" s="90"/>
      <c r="J222" s="4"/>
      <c r="K222" s="4"/>
      <c r="L222" s="4"/>
      <c r="M222" s="4"/>
      <c r="N222" s="4"/>
      <c r="O222" s="4"/>
    </row>
    <row r="223">
      <c r="A223" s="88"/>
      <c r="B223" s="89"/>
      <c r="C223" s="89"/>
      <c r="D223" s="89"/>
      <c r="E223" s="90"/>
      <c r="F223" s="90"/>
      <c r="G223" s="90"/>
      <c r="H223" s="90"/>
      <c r="I223" s="90"/>
      <c r="J223" s="4"/>
      <c r="K223" s="4"/>
      <c r="L223" s="4"/>
      <c r="M223" s="4"/>
      <c r="N223" s="4"/>
      <c r="O223" s="4"/>
    </row>
    <row r="224">
      <c r="A224" s="88"/>
      <c r="B224" s="89"/>
      <c r="C224" s="89"/>
      <c r="D224" s="89"/>
      <c r="E224" s="90"/>
      <c r="F224" s="90"/>
      <c r="G224" s="90"/>
      <c r="H224" s="90"/>
      <c r="I224" s="90"/>
      <c r="J224" s="4"/>
      <c r="K224" s="4"/>
      <c r="L224" s="4"/>
      <c r="M224" s="4"/>
      <c r="N224" s="4"/>
      <c r="O224" s="4"/>
    </row>
    <row r="225">
      <c r="A225" s="88"/>
      <c r="B225" s="89"/>
      <c r="C225" s="89"/>
      <c r="D225" s="89"/>
      <c r="E225" s="90"/>
      <c r="F225" s="90"/>
      <c r="G225" s="90"/>
      <c r="H225" s="90"/>
      <c r="I225" s="90"/>
      <c r="J225" s="4"/>
      <c r="K225" s="4"/>
      <c r="L225" s="4"/>
      <c r="M225" s="4"/>
      <c r="N225" s="4"/>
      <c r="O225" s="4"/>
    </row>
    <row r="226">
      <c r="A226" s="88"/>
      <c r="B226" s="89"/>
      <c r="C226" s="89"/>
      <c r="D226" s="89"/>
      <c r="E226" s="90"/>
      <c r="F226" s="90"/>
      <c r="G226" s="90"/>
      <c r="H226" s="90"/>
      <c r="I226" s="90"/>
      <c r="J226" s="4"/>
      <c r="K226" s="4"/>
      <c r="L226" s="4"/>
      <c r="M226" s="4"/>
      <c r="N226" s="4"/>
      <c r="O226" s="4"/>
    </row>
    <row r="227">
      <c r="A227" s="88"/>
      <c r="B227" s="89"/>
      <c r="C227" s="89"/>
      <c r="D227" s="89"/>
      <c r="E227" s="90"/>
      <c r="F227" s="90"/>
      <c r="G227" s="90"/>
      <c r="H227" s="90"/>
      <c r="I227" s="90"/>
      <c r="J227" s="4"/>
      <c r="K227" s="4"/>
      <c r="L227" s="4"/>
      <c r="M227" s="4"/>
      <c r="N227" s="4"/>
      <c r="O227" s="4"/>
    </row>
    <row r="228">
      <c r="A228" s="88"/>
      <c r="B228" s="89"/>
      <c r="C228" s="89"/>
      <c r="D228" s="89"/>
      <c r="E228" s="90"/>
      <c r="F228" s="90"/>
      <c r="G228" s="90"/>
      <c r="H228" s="90"/>
      <c r="I228" s="90"/>
      <c r="J228" s="4"/>
      <c r="K228" s="4"/>
      <c r="L228" s="4"/>
      <c r="M228" s="4"/>
      <c r="N228" s="4"/>
      <c r="O228" s="4"/>
    </row>
    <row r="229">
      <c r="A229" s="88"/>
      <c r="B229" s="89"/>
      <c r="C229" s="89"/>
      <c r="D229" s="89"/>
      <c r="E229" s="90"/>
      <c r="F229" s="90"/>
      <c r="G229" s="90"/>
      <c r="H229" s="90"/>
      <c r="I229" s="90"/>
      <c r="J229" s="4"/>
      <c r="K229" s="4"/>
      <c r="L229" s="4"/>
      <c r="M229" s="4"/>
      <c r="N229" s="4"/>
      <c r="O229" s="4"/>
    </row>
    <row r="230">
      <c r="A230" s="88"/>
      <c r="B230" s="89"/>
      <c r="C230" s="89"/>
      <c r="D230" s="89"/>
      <c r="E230" s="90"/>
      <c r="F230" s="90"/>
      <c r="G230" s="90"/>
      <c r="H230" s="90"/>
      <c r="I230" s="90"/>
      <c r="J230" s="4"/>
      <c r="K230" s="4"/>
      <c r="L230" s="4"/>
      <c r="M230" s="4"/>
      <c r="N230" s="4"/>
      <c r="O230" s="4"/>
    </row>
    <row r="231">
      <c r="A231" s="88"/>
      <c r="B231" s="89"/>
      <c r="C231" s="89"/>
      <c r="D231" s="89"/>
      <c r="E231" s="90"/>
      <c r="F231" s="90"/>
      <c r="G231" s="90"/>
      <c r="H231" s="90"/>
      <c r="I231" s="90"/>
      <c r="J231" s="4"/>
      <c r="K231" s="4"/>
      <c r="L231" s="4"/>
      <c r="M231" s="4"/>
      <c r="N231" s="4"/>
      <c r="O231" s="4"/>
    </row>
    <row r="232">
      <c r="A232" s="88"/>
      <c r="B232" s="89"/>
      <c r="C232" s="89"/>
      <c r="D232" s="89"/>
      <c r="E232" s="90"/>
      <c r="F232" s="90"/>
      <c r="G232" s="90"/>
      <c r="H232" s="90"/>
      <c r="I232" s="90"/>
      <c r="J232" s="4"/>
      <c r="K232" s="4"/>
      <c r="L232" s="4"/>
      <c r="M232" s="4"/>
      <c r="N232" s="4"/>
      <c r="O232" s="4"/>
    </row>
    <row r="233">
      <c r="A233" s="88"/>
      <c r="B233" s="89"/>
      <c r="C233" s="89"/>
      <c r="D233" s="89"/>
      <c r="E233" s="90"/>
      <c r="F233" s="90"/>
      <c r="G233" s="90"/>
      <c r="H233" s="90"/>
      <c r="I233" s="90"/>
      <c r="J233" s="4"/>
      <c r="K233" s="4"/>
      <c r="L233" s="4"/>
      <c r="M233" s="4"/>
      <c r="N233" s="4"/>
      <c r="O233" s="4"/>
    </row>
    <row r="234">
      <c r="A234" s="88"/>
      <c r="B234" s="89"/>
      <c r="C234" s="89"/>
      <c r="D234" s="89"/>
      <c r="E234" s="90"/>
      <c r="F234" s="90"/>
      <c r="G234" s="90"/>
      <c r="H234" s="90"/>
      <c r="I234" s="90"/>
      <c r="J234" s="4"/>
      <c r="K234" s="4"/>
      <c r="L234" s="4"/>
      <c r="M234" s="4"/>
      <c r="N234" s="4"/>
      <c r="O234" s="4"/>
    </row>
    <row r="235">
      <c r="A235" s="88"/>
      <c r="B235" s="89"/>
      <c r="C235" s="89"/>
      <c r="D235" s="89"/>
      <c r="E235" s="90"/>
      <c r="F235" s="90"/>
      <c r="G235" s="90"/>
      <c r="H235" s="90"/>
      <c r="I235" s="90"/>
      <c r="J235" s="4"/>
      <c r="K235" s="4"/>
      <c r="L235" s="4"/>
      <c r="M235" s="4"/>
      <c r="N235" s="4"/>
      <c r="O235" s="4"/>
    </row>
    <row r="236">
      <c r="A236" s="88"/>
      <c r="B236" s="89"/>
      <c r="C236" s="89"/>
      <c r="D236" s="89"/>
      <c r="E236" s="90"/>
      <c r="F236" s="90"/>
      <c r="G236" s="90"/>
      <c r="H236" s="90"/>
      <c r="I236" s="90"/>
      <c r="J236" s="4"/>
      <c r="K236" s="4"/>
      <c r="L236" s="4"/>
      <c r="M236" s="4"/>
      <c r="N236" s="4"/>
      <c r="O236" s="4"/>
    </row>
    <row r="237">
      <c r="A237" s="88"/>
      <c r="B237" s="89"/>
      <c r="C237" s="89"/>
      <c r="D237" s="89"/>
      <c r="E237" s="90"/>
      <c r="F237" s="90"/>
      <c r="G237" s="90"/>
      <c r="H237" s="90"/>
      <c r="I237" s="90"/>
      <c r="J237" s="4"/>
      <c r="K237" s="4"/>
      <c r="L237" s="4"/>
      <c r="M237" s="4"/>
      <c r="N237" s="4"/>
      <c r="O237" s="4"/>
    </row>
    <row r="238">
      <c r="A238" s="88"/>
      <c r="B238" s="89"/>
      <c r="C238" s="89"/>
      <c r="D238" s="89"/>
      <c r="E238" s="90"/>
      <c r="F238" s="90"/>
      <c r="G238" s="90"/>
      <c r="H238" s="90"/>
      <c r="I238" s="90"/>
      <c r="J238" s="4"/>
      <c r="K238" s="4"/>
      <c r="L238" s="4"/>
      <c r="M238" s="4"/>
      <c r="N238" s="4"/>
      <c r="O238" s="4"/>
    </row>
    <row r="239">
      <c r="A239" s="88"/>
      <c r="B239" s="89"/>
      <c r="C239" s="89"/>
      <c r="D239" s="89"/>
      <c r="E239" s="90"/>
      <c r="F239" s="90"/>
      <c r="G239" s="90"/>
      <c r="H239" s="90"/>
      <c r="I239" s="90"/>
      <c r="J239" s="4"/>
      <c r="K239" s="4"/>
      <c r="L239" s="4"/>
      <c r="M239" s="4"/>
      <c r="N239" s="4"/>
      <c r="O239" s="4"/>
    </row>
    <row r="240">
      <c r="A240" s="88"/>
      <c r="B240" s="89"/>
      <c r="C240" s="89"/>
      <c r="D240" s="89"/>
      <c r="E240" s="90"/>
      <c r="F240" s="90"/>
      <c r="G240" s="90"/>
      <c r="H240" s="90"/>
      <c r="I240" s="90"/>
      <c r="J240" s="4"/>
      <c r="K240" s="4"/>
      <c r="L240" s="4"/>
      <c r="M240" s="4"/>
      <c r="N240" s="4"/>
      <c r="O240" s="4"/>
    </row>
    <row r="241">
      <c r="A241" s="88"/>
      <c r="B241" s="89"/>
      <c r="C241" s="89"/>
      <c r="D241" s="89"/>
      <c r="E241" s="90"/>
      <c r="F241" s="90"/>
      <c r="G241" s="90"/>
      <c r="H241" s="90"/>
      <c r="I241" s="90"/>
      <c r="J241" s="4"/>
      <c r="K241" s="4"/>
      <c r="L241" s="4"/>
      <c r="M241" s="4"/>
      <c r="N241" s="4"/>
      <c r="O241" s="4"/>
    </row>
    <row r="242">
      <c r="A242" s="88"/>
      <c r="B242" s="89"/>
      <c r="C242" s="89"/>
      <c r="D242" s="89"/>
      <c r="E242" s="90"/>
      <c r="F242" s="90"/>
      <c r="G242" s="90"/>
      <c r="H242" s="90"/>
      <c r="I242" s="90"/>
      <c r="J242" s="4"/>
      <c r="K242" s="4"/>
      <c r="L242" s="4"/>
      <c r="M242" s="4"/>
      <c r="N242" s="4"/>
      <c r="O242" s="4"/>
    </row>
    <row r="243">
      <c r="A243" s="88"/>
      <c r="B243" s="89"/>
      <c r="C243" s="89"/>
      <c r="D243" s="89"/>
      <c r="E243" s="90"/>
      <c r="F243" s="90"/>
      <c r="G243" s="90"/>
      <c r="H243" s="90"/>
      <c r="I243" s="90"/>
      <c r="J243" s="4"/>
      <c r="K243" s="4"/>
      <c r="L243" s="4"/>
      <c r="M243" s="4"/>
      <c r="N243" s="4"/>
      <c r="O243" s="4"/>
    </row>
    <row r="244">
      <c r="A244" s="88"/>
      <c r="B244" s="89"/>
      <c r="C244" s="89"/>
      <c r="D244" s="89"/>
      <c r="E244" s="90"/>
      <c r="F244" s="90"/>
      <c r="G244" s="90"/>
      <c r="H244" s="90"/>
      <c r="I244" s="90"/>
      <c r="J244" s="4"/>
      <c r="K244" s="4"/>
      <c r="L244" s="4"/>
      <c r="M244" s="4"/>
      <c r="N244" s="4"/>
      <c r="O244" s="4"/>
    </row>
    <row r="245">
      <c r="A245" s="88"/>
      <c r="B245" s="89"/>
      <c r="C245" s="89"/>
      <c r="D245" s="89"/>
      <c r="E245" s="90"/>
      <c r="F245" s="90"/>
      <c r="G245" s="90"/>
      <c r="H245" s="90"/>
      <c r="I245" s="90"/>
      <c r="J245" s="4"/>
      <c r="K245" s="4"/>
      <c r="L245" s="4"/>
      <c r="M245" s="4"/>
      <c r="N245" s="4"/>
      <c r="O245" s="4"/>
    </row>
    <row r="246">
      <c r="A246" s="88"/>
      <c r="B246" s="89"/>
      <c r="C246" s="89"/>
      <c r="D246" s="89"/>
      <c r="E246" s="90"/>
      <c r="F246" s="90"/>
      <c r="G246" s="90"/>
      <c r="H246" s="90"/>
      <c r="I246" s="90"/>
      <c r="J246" s="4"/>
      <c r="K246" s="4"/>
      <c r="L246" s="4"/>
      <c r="M246" s="4"/>
      <c r="N246" s="4"/>
      <c r="O246" s="4"/>
    </row>
    <row r="247">
      <c r="A247" s="88"/>
      <c r="B247" s="89"/>
      <c r="C247" s="89"/>
      <c r="D247" s="89"/>
      <c r="E247" s="90"/>
      <c r="F247" s="90"/>
      <c r="G247" s="90"/>
      <c r="H247" s="90"/>
      <c r="I247" s="90"/>
      <c r="J247" s="4"/>
      <c r="K247" s="4"/>
      <c r="L247" s="4"/>
      <c r="M247" s="4"/>
      <c r="N247" s="4"/>
      <c r="O247" s="4"/>
    </row>
    <row r="248">
      <c r="A248" s="88"/>
      <c r="B248" s="89"/>
      <c r="C248" s="89"/>
      <c r="D248" s="89"/>
      <c r="E248" s="90"/>
      <c r="F248" s="90"/>
      <c r="G248" s="90"/>
      <c r="H248" s="90"/>
      <c r="I248" s="90"/>
      <c r="J248" s="4"/>
      <c r="K248" s="4"/>
      <c r="L248" s="4"/>
      <c r="M248" s="4"/>
      <c r="N248" s="4"/>
      <c r="O248" s="4"/>
    </row>
    <row r="249">
      <c r="A249" s="88"/>
      <c r="B249" s="89"/>
      <c r="C249" s="89"/>
      <c r="D249" s="89"/>
      <c r="E249" s="90"/>
      <c r="F249" s="90"/>
      <c r="G249" s="90"/>
      <c r="H249" s="90"/>
      <c r="I249" s="90"/>
      <c r="J249" s="4"/>
      <c r="K249" s="4"/>
      <c r="L249" s="4"/>
      <c r="M249" s="4"/>
      <c r="N249" s="4"/>
      <c r="O249" s="4"/>
    </row>
    <row r="250">
      <c r="A250" s="88"/>
      <c r="B250" s="89"/>
      <c r="C250" s="89"/>
      <c r="D250" s="89"/>
      <c r="E250" s="90"/>
      <c r="F250" s="90"/>
      <c r="G250" s="90"/>
      <c r="H250" s="90"/>
      <c r="I250" s="90"/>
      <c r="J250" s="4"/>
      <c r="K250" s="4"/>
      <c r="L250" s="4"/>
      <c r="M250" s="4"/>
      <c r="N250" s="4"/>
      <c r="O250" s="4"/>
    </row>
    <row r="251">
      <c r="A251" s="88"/>
      <c r="B251" s="89"/>
      <c r="C251" s="89"/>
      <c r="D251" s="89"/>
      <c r="E251" s="90"/>
      <c r="F251" s="90"/>
      <c r="G251" s="90"/>
      <c r="H251" s="90"/>
      <c r="I251" s="90"/>
      <c r="J251" s="4"/>
      <c r="K251" s="4"/>
      <c r="L251" s="4"/>
      <c r="M251" s="4"/>
      <c r="N251" s="4"/>
      <c r="O251" s="4"/>
    </row>
    <row r="252">
      <c r="A252" s="88"/>
      <c r="B252" s="89"/>
      <c r="C252" s="89"/>
      <c r="D252" s="89"/>
      <c r="E252" s="90"/>
      <c r="F252" s="90"/>
      <c r="G252" s="90"/>
      <c r="H252" s="90"/>
      <c r="I252" s="90"/>
      <c r="J252" s="4"/>
      <c r="K252" s="4"/>
      <c r="L252" s="4"/>
      <c r="M252" s="4"/>
      <c r="N252" s="4"/>
      <c r="O252" s="4"/>
    </row>
    <row r="253">
      <c r="A253" s="88"/>
      <c r="B253" s="89"/>
      <c r="C253" s="89"/>
      <c r="D253" s="89"/>
      <c r="E253" s="90"/>
      <c r="F253" s="90"/>
      <c r="G253" s="90"/>
      <c r="H253" s="90"/>
      <c r="I253" s="90"/>
      <c r="J253" s="4"/>
      <c r="K253" s="4"/>
      <c r="L253" s="4"/>
      <c r="M253" s="4"/>
      <c r="N253" s="4"/>
      <c r="O253" s="4"/>
    </row>
    <row r="254">
      <c r="A254" s="88"/>
      <c r="B254" s="89"/>
      <c r="C254" s="89"/>
      <c r="D254" s="89"/>
      <c r="E254" s="90"/>
      <c r="F254" s="90"/>
      <c r="G254" s="90"/>
      <c r="H254" s="90"/>
      <c r="I254" s="90"/>
      <c r="J254" s="4"/>
      <c r="K254" s="4"/>
      <c r="L254" s="4"/>
      <c r="M254" s="4"/>
      <c r="N254" s="4"/>
      <c r="O254" s="4"/>
    </row>
    <row r="255">
      <c r="A255" s="88"/>
      <c r="B255" s="89"/>
      <c r="C255" s="89"/>
      <c r="D255" s="89"/>
      <c r="E255" s="90"/>
      <c r="F255" s="90"/>
      <c r="G255" s="90"/>
      <c r="H255" s="90"/>
      <c r="I255" s="90"/>
      <c r="J255" s="4"/>
      <c r="K255" s="4"/>
      <c r="L255" s="4"/>
      <c r="M255" s="4"/>
      <c r="N255" s="4"/>
      <c r="O255" s="4"/>
    </row>
    <row r="256">
      <c r="A256" s="88"/>
      <c r="B256" s="89"/>
      <c r="C256" s="89"/>
      <c r="D256" s="89"/>
      <c r="E256" s="90"/>
      <c r="F256" s="90"/>
      <c r="G256" s="90"/>
      <c r="H256" s="90"/>
      <c r="I256" s="90"/>
      <c r="J256" s="4"/>
      <c r="K256" s="4"/>
      <c r="L256" s="4"/>
      <c r="M256" s="4"/>
      <c r="N256" s="4"/>
      <c r="O256" s="4"/>
    </row>
    <row r="257">
      <c r="A257" s="88"/>
      <c r="B257" s="89"/>
      <c r="C257" s="89"/>
      <c r="D257" s="89"/>
      <c r="E257" s="90"/>
      <c r="F257" s="90"/>
      <c r="G257" s="90"/>
      <c r="H257" s="90"/>
      <c r="I257" s="90"/>
      <c r="J257" s="4"/>
      <c r="K257" s="4"/>
      <c r="L257" s="4"/>
      <c r="M257" s="4"/>
      <c r="N257" s="4"/>
      <c r="O257" s="4"/>
    </row>
    <row r="258">
      <c r="A258" s="88"/>
      <c r="B258" s="89"/>
      <c r="C258" s="89"/>
      <c r="D258" s="89"/>
      <c r="E258" s="90"/>
      <c r="F258" s="90"/>
      <c r="G258" s="90"/>
      <c r="H258" s="90"/>
      <c r="I258" s="90"/>
      <c r="J258" s="4"/>
      <c r="K258" s="4"/>
      <c r="L258" s="4"/>
      <c r="M258" s="4"/>
      <c r="N258" s="4"/>
      <c r="O258" s="4"/>
    </row>
    <row r="259">
      <c r="A259" s="88"/>
      <c r="B259" s="89"/>
      <c r="C259" s="89"/>
      <c r="D259" s="89"/>
      <c r="E259" s="90"/>
      <c r="F259" s="90"/>
      <c r="G259" s="90"/>
      <c r="H259" s="90"/>
      <c r="I259" s="90"/>
      <c r="J259" s="4"/>
      <c r="K259" s="4"/>
      <c r="L259" s="4"/>
      <c r="M259" s="4"/>
      <c r="N259" s="4"/>
      <c r="O259" s="4"/>
    </row>
    <row r="260">
      <c r="A260" s="88"/>
      <c r="B260" s="89"/>
      <c r="C260" s="89"/>
      <c r="D260" s="89"/>
      <c r="E260" s="90"/>
      <c r="F260" s="90"/>
      <c r="G260" s="90"/>
      <c r="H260" s="90"/>
      <c r="I260" s="90"/>
      <c r="J260" s="4"/>
      <c r="K260" s="4"/>
      <c r="L260" s="4"/>
      <c r="M260" s="4"/>
      <c r="N260" s="4"/>
      <c r="O260" s="4"/>
    </row>
    <row r="261">
      <c r="A261" s="88"/>
      <c r="B261" s="89"/>
      <c r="C261" s="89"/>
      <c r="D261" s="89"/>
      <c r="E261" s="90"/>
      <c r="F261" s="90"/>
      <c r="G261" s="90"/>
      <c r="H261" s="90"/>
      <c r="I261" s="90"/>
      <c r="J261" s="4"/>
      <c r="K261" s="4"/>
      <c r="L261" s="4"/>
      <c r="M261" s="4"/>
      <c r="N261" s="4"/>
      <c r="O261" s="4"/>
    </row>
    <row r="262">
      <c r="A262" s="88"/>
      <c r="B262" s="89"/>
      <c r="C262" s="89"/>
      <c r="D262" s="89"/>
      <c r="E262" s="90"/>
      <c r="F262" s="90"/>
      <c r="G262" s="90"/>
      <c r="H262" s="90"/>
      <c r="I262" s="90"/>
      <c r="J262" s="4"/>
      <c r="K262" s="4"/>
      <c r="L262" s="4"/>
      <c r="M262" s="4"/>
      <c r="N262" s="4"/>
      <c r="O262" s="4"/>
    </row>
    <row r="263">
      <c r="A263" s="88"/>
      <c r="B263" s="89"/>
      <c r="C263" s="89"/>
      <c r="D263" s="89"/>
      <c r="E263" s="90"/>
      <c r="F263" s="90"/>
      <c r="G263" s="90"/>
      <c r="H263" s="90"/>
      <c r="I263" s="90"/>
      <c r="J263" s="4"/>
      <c r="K263" s="4"/>
      <c r="L263" s="4"/>
      <c r="M263" s="4"/>
      <c r="N263" s="4"/>
      <c r="O263" s="4"/>
    </row>
    <row r="264">
      <c r="A264" s="88"/>
      <c r="B264" s="89"/>
      <c r="C264" s="89"/>
      <c r="D264" s="89"/>
      <c r="E264" s="90"/>
      <c r="F264" s="90"/>
      <c r="G264" s="90"/>
      <c r="H264" s="90"/>
      <c r="I264" s="90"/>
      <c r="J264" s="4"/>
      <c r="K264" s="4"/>
      <c r="L264" s="4"/>
      <c r="M264" s="4"/>
      <c r="N264" s="4"/>
      <c r="O264" s="4"/>
    </row>
    <row r="265">
      <c r="A265" s="88"/>
      <c r="B265" s="89"/>
      <c r="C265" s="89"/>
      <c r="D265" s="89"/>
      <c r="E265" s="90"/>
      <c r="F265" s="90"/>
      <c r="G265" s="90"/>
      <c r="H265" s="90"/>
      <c r="I265" s="90"/>
      <c r="J265" s="4"/>
      <c r="K265" s="4"/>
      <c r="L265" s="4"/>
      <c r="M265" s="4"/>
      <c r="N265" s="4"/>
      <c r="O265" s="4"/>
    </row>
    <row r="266">
      <c r="A266" s="88"/>
      <c r="B266" s="89"/>
      <c r="C266" s="89"/>
      <c r="D266" s="89"/>
      <c r="E266" s="90"/>
      <c r="F266" s="90"/>
      <c r="G266" s="90"/>
      <c r="H266" s="90"/>
      <c r="I266" s="90"/>
      <c r="J266" s="4"/>
      <c r="K266" s="4"/>
      <c r="L266" s="4"/>
      <c r="M266" s="4"/>
      <c r="N266" s="4"/>
      <c r="O266" s="4"/>
    </row>
    <row r="267">
      <c r="A267" s="88"/>
      <c r="B267" s="89"/>
      <c r="C267" s="89"/>
      <c r="D267" s="89"/>
      <c r="E267" s="90"/>
      <c r="F267" s="90"/>
      <c r="G267" s="90"/>
      <c r="H267" s="90"/>
      <c r="I267" s="90"/>
      <c r="J267" s="4"/>
      <c r="K267" s="4"/>
      <c r="L267" s="4"/>
      <c r="M267" s="4"/>
      <c r="N267" s="4"/>
      <c r="O267" s="4"/>
    </row>
    <row r="268">
      <c r="A268" s="88"/>
      <c r="B268" s="89"/>
      <c r="C268" s="89"/>
      <c r="D268" s="89"/>
      <c r="E268" s="90"/>
      <c r="F268" s="90"/>
      <c r="G268" s="90"/>
      <c r="H268" s="90"/>
      <c r="I268" s="90"/>
      <c r="J268" s="4"/>
      <c r="K268" s="4"/>
      <c r="L268" s="4"/>
      <c r="M268" s="4"/>
      <c r="N268" s="4"/>
      <c r="O268" s="4"/>
    </row>
    <row r="269">
      <c r="A269" s="88"/>
      <c r="B269" s="89"/>
      <c r="C269" s="89"/>
      <c r="D269" s="89"/>
      <c r="E269" s="90"/>
      <c r="F269" s="90"/>
      <c r="G269" s="90"/>
      <c r="H269" s="90"/>
      <c r="I269" s="90"/>
      <c r="J269" s="4"/>
      <c r="K269" s="4"/>
      <c r="L269" s="4"/>
      <c r="M269" s="4"/>
      <c r="N269" s="4"/>
      <c r="O269" s="4"/>
    </row>
    <row r="270">
      <c r="A270" s="88"/>
      <c r="B270" s="89"/>
      <c r="C270" s="89"/>
      <c r="D270" s="89"/>
      <c r="E270" s="90"/>
      <c r="F270" s="90"/>
      <c r="G270" s="90"/>
      <c r="H270" s="90"/>
      <c r="I270" s="90"/>
      <c r="J270" s="4"/>
      <c r="K270" s="4"/>
      <c r="L270" s="4"/>
      <c r="M270" s="4"/>
      <c r="N270" s="4"/>
      <c r="O270" s="4"/>
    </row>
    <row r="271">
      <c r="A271" s="88"/>
      <c r="B271" s="89"/>
      <c r="C271" s="89"/>
      <c r="D271" s="89"/>
      <c r="E271" s="90"/>
      <c r="F271" s="90"/>
      <c r="G271" s="90"/>
      <c r="H271" s="90"/>
      <c r="I271" s="90"/>
      <c r="J271" s="4"/>
      <c r="K271" s="4"/>
      <c r="L271" s="4"/>
      <c r="M271" s="4"/>
      <c r="N271" s="4"/>
      <c r="O271" s="4"/>
    </row>
    <row r="272">
      <c r="A272" s="88"/>
      <c r="B272" s="89"/>
      <c r="C272" s="89"/>
      <c r="D272" s="89"/>
      <c r="E272" s="90"/>
      <c r="F272" s="90"/>
      <c r="G272" s="90"/>
      <c r="H272" s="90"/>
      <c r="I272" s="90"/>
      <c r="J272" s="4"/>
      <c r="K272" s="4"/>
      <c r="L272" s="4"/>
      <c r="M272" s="4"/>
      <c r="N272" s="4"/>
      <c r="O272" s="4"/>
    </row>
    <row r="273">
      <c r="A273" s="88"/>
      <c r="B273" s="89"/>
      <c r="C273" s="89"/>
      <c r="D273" s="89"/>
      <c r="E273" s="90"/>
      <c r="F273" s="90"/>
      <c r="G273" s="90"/>
      <c r="H273" s="90"/>
      <c r="I273" s="90"/>
      <c r="J273" s="4"/>
      <c r="K273" s="4"/>
      <c r="L273" s="4"/>
      <c r="M273" s="4"/>
      <c r="N273" s="4"/>
      <c r="O273" s="4"/>
    </row>
    <row r="274">
      <c r="A274" s="88"/>
      <c r="B274" s="89"/>
      <c r="C274" s="89"/>
      <c r="D274" s="89"/>
      <c r="E274" s="90"/>
      <c r="F274" s="90"/>
      <c r="G274" s="90"/>
      <c r="H274" s="90"/>
      <c r="I274" s="90"/>
      <c r="J274" s="4"/>
      <c r="K274" s="4"/>
      <c r="L274" s="4"/>
      <c r="M274" s="4"/>
      <c r="N274" s="4"/>
      <c r="O274" s="4"/>
    </row>
    <row r="275">
      <c r="A275" s="88"/>
      <c r="B275" s="89"/>
      <c r="C275" s="89"/>
      <c r="D275" s="89"/>
      <c r="E275" s="90"/>
      <c r="F275" s="90"/>
      <c r="G275" s="90"/>
      <c r="H275" s="90"/>
      <c r="I275" s="90"/>
      <c r="J275" s="4"/>
      <c r="K275" s="4"/>
      <c r="L275" s="4"/>
      <c r="M275" s="4"/>
      <c r="N275" s="4"/>
      <c r="O275" s="4"/>
    </row>
    <row r="276">
      <c r="A276" s="88"/>
      <c r="B276" s="89"/>
      <c r="C276" s="89"/>
      <c r="D276" s="89"/>
      <c r="E276" s="90"/>
      <c r="F276" s="90"/>
      <c r="G276" s="90"/>
      <c r="H276" s="90"/>
      <c r="I276" s="90"/>
      <c r="J276" s="4"/>
      <c r="K276" s="4"/>
      <c r="L276" s="4"/>
      <c r="M276" s="4"/>
      <c r="N276" s="4"/>
      <c r="O276" s="4"/>
    </row>
    <row r="277">
      <c r="A277" s="88"/>
      <c r="B277" s="89"/>
      <c r="C277" s="89"/>
      <c r="D277" s="89"/>
      <c r="E277" s="90"/>
      <c r="F277" s="90"/>
      <c r="G277" s="90"/>
      <c r="H277" s="90"/>
      <c r="I277" s="90"/>
      <c r="J277" s="4"/>
      <c r="K277" s="4"/>
      <c r="L277" s="4"/>
      <c r="M277" s="4"/>
      <c r="N277" s="4"/>
      <c r="O277" s="4"/>
    </row>
    <row r="278">
      <c r="A278" s="88"/>
      <c r="B278" s="89"/>
      <c r="C278" s="89"/>
      <c r="D278" s="89"/>
      <c r="E278" s="90"/>
      <c r="F278" s="90"/>
      <c r="G278" s="90"/>
      <c r="H278" s="90"/>
      <c r="I278" s="90"/>
      <c r="J278" s="4"/>
      <c r="K278" s="4"/>
      <c r="L278" s="4"/>
      <c r="M278" s="4"/>
      <c r="N278" s="4"/>
      <c r="O278" s="4"/>
    </row>
    <row r="279">
      <c r="A279" s="88"/>
      <c r="B279" s="89"/>
      <c r="C279" s="89"/>
      <c r="D279" s="89"/>
      <c r="E279" s="90"/>
      <c r="F279" s="90"/>
      <c r="G279" s="90"/>
      <c r="H279" s="90"/>
      <c r="I279" s="90"/>
      <c r="J279" s="4"/>
      <c r="K279" s="4"/>
      <c r="L279" s="4"/>
      <c r="M279" s="4"/>
      <c r="N279" s="4"/>
      <c r="O279" s="4"/>
    </row>
    <row r="280">
      <c r="A280" s="88"/>
      <c r="B280" s="89"/>
      <c r="C280" s="89"/>
      <c r="D280" s="89"/>
      <c r="E280" s="90"/>
      <c r="F280" s="90"/>
      <c r="G280" s="90"/>
      <c r="H280" s="90"/>
      <c r="I280" s="90"/>
      <c r="J280" s="4"/>
      <c r="K280" s="4"/>
      <c r="L280" s="4"/>
      <c r="M280" s="4"/>
      <c r="N280" s="4"/>
      <c r="O280" s="4"/>
    </row>
    <row r="281">
      <c r="A281" s="88"/>
      <c r="B281" s="89"/>
      <c r="C281" s="89"/>
      <c r="D281" s="89"/>
      <c r="E281" s="90"/>
      <c r="F281" s="90"/>
      <c r="G281" s="90"/>
      <c r="H281" s="90"/>
      <c r="I281" s="90"/>
      <c r="J281" s="4"/>
      <c r="K281" s="4"/>
      <c r="L281" s="4"/>
      <c r="M281" s="4"/>
      <c r="N281" s="4"/>
      <c r="O281" s="4"/>
    </row>
    <row r="282">
      <c r="A282" s="88"/>
      <c r="B282" s="89"/>
      <c r="C282" s="89"/>
      <c r="D282" s="89"/>
      <c r="E282" s="90"/>
      <c r="F282" s="90"/>
      <c r="G282" s="90"/>
      <c r="H282" s="90"/>
      <c r="I282" s="90"/>
      <c r="J282" s="4"/>
    </row>
    <row r="283">
      <c r="A283" s="88"/>
      <c r="B283" s="89"/>
      <c r="C283" s="89"/>
      <c r="D283" s="89"/>
      <c r="E283" s="90"/>
      <c r="F283" s="90"/>
      <c r="G283" s="90"/>
      <c r="H283" s="90"/>
      <c r="I283" s="90"/>
      <c r="J283" s="4"/>
    </row>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sheetData>
  <mergeCells count="29">
    <mergeCell ref="A1:I1"/>
    <mergeCell ref="A2:I2"/>
    <mergeCell ref="B4:B5"/>
    <mergeCell ref="C4:C5"/>
    <mergeCell ref="B6:B7"/>
    <mergeCell ref="C6:C7"/>
    <mergeCell ref="A9:I9"/>
    <mergeCell ref="B70:D70"/>
    <mergeCell ref="B75:D75"/>
    <mergeCell ref="B76:D76"/>
    <mergeCell ref="B30:C30"/>
    <mergeCell ref="B31:C31"/>
    <mergeCell ref="I32:I33"/>
    <mergeCell ref="B67:D67"/>
    <mergeCell ref="B68:D68"/>
    <mergeCell ref="I68:I72"/>
    <mergeCell ref="B69:D69"/>
    <mergeCell ref="A87:B87"/>
    <mergeCell ref="A88:B89"/>
    <mergeCell ref="A91:B92"/>
    <mergeCell ref="F88:H89"/>
    <mergeCell ref="F91:H92"/>
    <mergeCell ref="I76:I77"/>
    <mergeCell ref="B77:D77"/>
    <mergeCell ref="E80:F80"/>
    <mergeCell ref="E81:F81"/>
    <mergeCell ref="E82:F82"/>
    <mergeCell ref="A85:H86"/>
    <mergeCell ref="F87:H87"/>
  </mergeCells>
  <dataValidations>
    <dataValidation type="list" allowBlank="1" sqref="C18:C20 C42:C44 C56:C58">
      <formula1>$O$63:$O$70</formula1>
    </dataValidation>
    <dataValidation type="list" allowBlank="1" sqref="B64">
      <formula1>"Yes,No"</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09"/>
      <c r="C2" s="109"/>
      <c r="D2" s="110">
        <v>25.0</v>
      </c>
    </row>
    <row r="3">
      <c r="B3" s="109"/>
      <c r="C3" s="110">
        <v>0.0</v>
      </c>
      <c r="D3" s="109"/>
    </row>
    <row r="4">
      <c r="B4" s="110">
        <v>1.0</v>
      </c>
      <c r="C4" s="110">
        <f t="shared" ref="C4:C368" si="1">C3+$D$2</f>
        <v>25</v>
      </c>
      <c r="D4" s="111">
        <f t="shared" ref="D4:D368" si="2">C4*0.023/30</f>
        <v>0.01916666667</v>
      </c>
    </row>
    <row r="5">
      <c r="B5" s="110">
        <v>2.0</v>
      </c>
      <c r="C5" s="110">
        <f t="shared" si="1"/>
        <v>50</v>
      </c>
      <c r="D5" s="111">
        <f t="shared" si="2"/>
        <v>0.03833333333</v>
      </c>
    </row>
    <row r="6">
      <c r="B6" s="110">
        <v>3.0</v>
      </c>
      <c r="C6" s="110">
        <f t="shared" si="1"/>
        <v>75</v>
      </c>
      <c r="D6" s="111">
        <f t="shared" si="2"/>
        <v>0.0575</v>
      </c>
    </row>
    <row r="7">
      <c r="B7" s="110">
        <v>4.0</v>
      </c>
      <c r="C7" s="110">
        <f t="shared" si="1"/>
        <v>100</v>
      </c>
      <c r="D7" s="111">
        <f t="shared" si="2"/>
        <v>0.07666666667</v>
      </c>
    </row>
    <row r="8">
      <c r="B8" s="110">
        <v>5.0</v>
      </c>
      <c r="C8" s="110">
        <f t="shared" si="1"/>
        <v>125</v>
      </c>
      <c r="D8" s="111">
        <f t="shared" si="2"/>
        <v>0.09583333333</v>
      </c>
    </row>
    <row r="9">
      <c r="B9" s="110">
        <v>6.0</v>
      </c>
      <c r="C9" s="110">
        <f t="shared" si="1"/>
        <v>150</v>
      </c>
      <c r="D9" s="111">
        <f t="shared" si="2"/>
        <v>0.115</v>
      </c>
    </row>
    <row r="10">
      <c r="B10" s="110">
        <v>7.0</v>
      </c>
      <c r="C10" s="110">
        <f t="shared" si="1"/>
        <v>175</v>
      </c>
      <c r="D10" s="111">
        <f t="shared" si="2"/>
        <v>0.1341666667</v>
      </c>
    </row>
    <row r="11">
      <c r="B11" s="110">
        <v>8.0</v>
      </c>
      <c r="C11" s="110">
        <f t="shared" si="1"/>
        <v>200</v>
      </c>
      <c r="D11" s="111">
        <f t="shared" si="2"/>
        <v>0.1533333333</v>
      </c>
    </row>
    <row r="12">
      <c r="B12" s="110">
        <v>9.0</v>
      </c>
      <c r="C12" s="110">
        <f t="shared" si="1"/>
        <v>225</v>
      </c>
      <c r="D12" s="111">
        <f t="shared" si="2"/>
        <v>0.1725</v>
      </c>
    </row>
    <row r="13">
      <c r="B13" s="110">
        <v>10.0</v>
      </c>
      <c r="C13" s="110">
        <f t="shared" si="1"/>
        <v>250</v>
      </c>
      <c r="D13" s="111">
        <f t="shared" si="2"/>
        <v>0.1916666667</v>
      </c>
    </row>
    <row r="14">
      <c r="B14" s="110">
        <v>11.0</v>
      </c>
      <c r="C14" s="110">
        <f t="shared" si="1"/>
        <v>275</v>
      </c>
      <c r="D14" s="111">
        <f t="shared" si="2"/>
        <v>0.2108333333</v>
      </c>
    </row>
    <row r="15">
      <c r="B15" s="110">
        <v>12.0</v>
      </c>
      <c r="C15" s="110">
        <f t="shared" si="1"/>
        <v>300</v>
      </c>
      <c r="D15" s="111">
        <f t="shared" si="2"/>
        <v>0.23</v>
      </c>
    </row>
    <row r="16">
      <c r="B16" s="110">
        <v>13.0</v>
      </c>
      <c r="C16" s="110">
        <f t="shared" si="1"/>
        <v>325</v>
      </c>
      <c r="D16" s="111">
        <f t="shared" si="2"/>
        <v>0.2491666667</v>
      </c>
    </row>
    <row r="17">
      <c r="B17" s="110">
        <v>14.0</v>
      </c>
      <c r="C17" s="110">
        <f t="shared" si="1"/>
        <v>350</v>
      </c>
      <c r="D17" s="111">
        <f t="shared" si="2"/>
        <v>0.2683333333</v>
      </c>
    </row>
    <row r="18">
      <c r="B18" s="110">
        <v>15.0</v>
      </c>
      <c r="C18" s="110">
        <f t="shared" si="1"/>
        <v>375</v>
      </c>
      <c r="D18" s="111">
        <f t="shared" si="2"/>
        <v>0.2875</v>
      </c>
    </row>
    <row r="19">
      <c r="B19" s="110">
        <v>16.0</v>
      </c>
      <c r="C19" s="110">
        <f t="shared" si="1"/>
        <v>400</v>
      </c>
      <c r="D19" s="111">
        <f t="shared" si="2"/>
        <v>0.3066666667</v>
      </c>
    </row>
    <row r="20">
      <c r="B20" s="110">
        <v>17.0</v>
      </c>
      <c r="C20" s="110">
        <f t="shared" si="1"/>
        <v>425</v>
      </c>
      <c r="D20" s="111">
        <f t="shared" si="2"/>
        <v>0.3258333333</v>
      </c>
    </row>
    <row r="21">
      <c r="B21" s="110">
        <v>18.0</v>
      </c>
      <c r="C21" s="110">
        <f t="shared" si="1"/>
        <v>450</v>
      </c>
      <c r="D21" s="111">
        <f t="shared" si="2"/>
        <v>0.345</v>
      </c>
    </row>
    <row r="22">
      <c r="B22" s="110">
        <v>19.0</v>
      </c>
      <c r="C22" s="110">
        <f t="shared" si="1"/>
        <v>475</v>
      </c>
      <c r="D22" s="111">
        <f t="shared" si="2"/>
        <v>0.3641666667</v>
      </c>
    </row>
    <row r="23">
      <c r="B23" s="110">
        <v>20.0</v>
      </c>
      <c r="C23" s="110">
        <f t="shared" si="1"/>
        <v>500</v>
      </c>
      <c r="D23" s="111">
        <f t="shared" si="2"/>
        <v>0.3833333333</v>
      </c>
    </row>
    <row r="24">
      <c r="B24" s="110">
        <v>21.0</v>
      </c>
      <c r="C24" s="110">
        <f t="shared" si="1"/>
        <v>525</v>
      </c>
      <c r="D24" s="111">
        <f t="shared" si="2"/>
        <v>0.4025</v>
      </c>
    </row>
    <row r="25">
      <c r="B25" s="110">
        <v>22.0</v>
      </c>
      <c r="C25" s="110">
        <f t="shared" si="1"/>
        <v>550</v>
      </c>
      <c r="D25" s="111">
        <f t="shared" si="2"/>
        <v>0.4216666667</v>
      </c>
    </row>
    <row r="26">
      <c r="B26" s="110">
        <v>23.0</v>
      </c>
      <c r="C26" s="110">
        <f t="shared" si="1"/>
        <v>575</v>
      </c>
      <c r="D26" s="111">
        <f t="shared" si="2"/>
        <v>0.4408333333</v>
      </c>
    </row>
    <row r="27">
      <c r="B27" s="110">
        <v>24.0</v>
      </c>
      <c r="C27" s="110">
        <f t="shared" si="1"/>
        <v>600</v>
      </c>
      <c r="D27" s="111">
        <f t="shared" si="2"/>
        <v>0.46</v>
      </c>
    </row>
    <row r="28">
      <c r="B28" s="110">
        <v>25.0</v>
      </c>
      <c r="C28" s="110">
        <f t="shared" si="1"/>
        <v>625</v>
      </c>
      <c r="D28" s="111">
        <f t="shared" si="2"/>
        <v>0.4791666667</v>
      </c>
    </row>
    <row r="29">
      <c r="B29" s="110">
        <v>26.0</v>
      </c>
      <c r="C29" s="110">
        <f t="shared" si="1"/>
        <v>650</v>
      </c>
      <c r="D29" s="111">
        <f t="shared" si="2"/>
        <v>0.4983333333</v>
      </c>
    </row>
    <row r="30">
      <c r="B30" s="110">
        <v>27.0</v>
      </c>
      <c r="C30" s="110">
        <f t="shared" si="1"/>
        <v>675</v>
      </c>
      <c r="D30" s="111">
        <f t="shared" si="2"/>
        <v>0.5175</v>
      </c>
    </row>
    <row r="31">
      <c r="B31" s="110">
        <v>28.0</v>
      </c>
      <c r="C31" s="110">
        <f t="shared" si="1"/>
        <v>700</v>
      </c>
      <c r="D31" s="111">
        <f t="shared" si="2"/>
        <v>0.5366666667</v>
      </c>
    </row>
    <row r="32">
      <c r="B32" s="110">
        <v>29.0</v>
      </c>
      <c r="C32" s="110">
        <f t="shared" si="1"/>
        <v>725</v>
      </c>
      <c r="D32" s="111">
        <f t="shared" si="2"/>
        <v>0.5558333333</v>
      </c>
    </row>
    <row r="33">
      <c r="B33" s="110">
        <v>30.0</v>
      </c>
      <c r="C33" s="110">
        <f t="shared" si="1"/>
        <v>750</v>
      </c>
      <c r="D33" s="111">
        <f t="shared" si="2"/>
        <v>0.575</v>
      </c>
    </row>
    <row r="34">
      <c r="B34" s="110">
        <v>31.0</v>
      </c>
      <c r="C34" s="110">
        <f t="shared" si="1"/>
        <v>775</v>
      </c>
      <c r="D34" s="111">
        <f t="shared" si="2"/>
        <v>0.5941666667</v>
      </c>
    </row>
    <row r="35">
      <c r="B35" s="110">
        <v>32.0</v>
      </c>
      <c r="C35" s="110">
        <f t="shared" si="1"/>
        <v>800</v>
      </c>
      <c r="D35" s="111">
        <f t="shared" si="2"/>
        <v>0.6133333333</v>
      </c>
    </row>
    <row r="36">
      <c r="B36" s="110">
        <v>33.0</v>
      </c>
      <c r="C36" s="110">
        <f t="shared" si="1"/>
        <v>825</v>
      </c>
      <c r="D36" s="111">
        <f t="shared" si="2"/>
        <v>0.6325</v>
      </c>
    </row>
    <row r="37">
      <c r="B37" s="110">
        <v>34.0</v>
      </c>
      <c r="C37" s="110">
        <f t="shared" si="1"/>
        <v>850</v>
      </c>
      <c r="D37" s="111">
        <f t="shared" si="2"/>
        <v>0.6516666667</v>
      </c>
    </row>
    <row r="38">
      <c r="B38" s="110">
        <v>35.0</v>
      </c>
      <c r="C38" s="110">
        <f t="shared" si="1"/>
        <v>875</v>
      </c>
      <c r="D38" s="111">
        <f t="shared" si="2"/>
        <v>0.6708333333</v>
      </c>
    </row>
    <row r="39">
      <c r="B39" s="110">
        <v>36.0</v>
      </c>
      <c r="C39" s="110">
        <f t="shared" si="1"/>
        <v>900</v>
      </c>
      <c r="D39" s="111">
        <f t="shared" si="2"/>
        <v>0.69</v>
      </c>
    </row>
    <row r="40">
      <c r="B40" s="110">
        <v>37.0</v>
      </c>
      <c r="C40" s="110">
        <f t="shared" si="1"/>
        <v>925</v>
      </c>
      <c r="D40" s="111">
        <f t="shared" si="2"/>
        <v>0.7091666667</v>
      </c>
    </row>
    <row r="41">
      <c r="B41" s="110">
        <v>38.0</v>
      </c>
      <c r="C41" s="110">
        <f t="shared" si="1"/>
        <v>950</v>
      </c>
      <c r="D41" s="111">
        <f t="shared" si="2"/>
        <v>0.7283333333</v>
      </c>
    </row>
    <row r="42">
      <c r="B42" s="110">
        <v>39.0</v>
      </c>
      <c r="C42" s="110">
        <f t="shared" si="1"/>
        <v>975</v>
      </c>
      <c r="D42" s="111">
        <f t="shared" si="2"/>
        <v>0.7475</v>
      </c>
    </row>
    <row r="43">
      <c r="B43" s="110">
        <v>40.0</v>
      </c>
      <c r="C43" s="110">
        <f t="shared" si="1"/>
        <v>1000</v>
      </c>
      <c r="D43" s="111">
        <f t="shared" si="2"/>
        <v>0.7666666667</v>
      </c>
    </row>
    <row r="44">
      <c r="B44" s="110">
        <v>41.0</v>
      </c>
      <c r="C44" s="110">
        <f t="shared" si="1"/>
        <v>1025</v>
      </c>
      <c r="D44" s="111">
        <f t="shared" si="2"/>
        <v>0.7858333333</v>
      </c>
    </row>
    <row r="45">
      <c r="B45" s="110">
        <v>42.0</v>
      </c>
      <c r="C45" s="110">
        <f t="shared" si="1"/>
        <v>1050</v>
      </c>
      <c r="D45" s="111">
        <f t="shared" si="2"/>
        <v>0.805</v>
      </c>
    </row>
    <row r="46">
      <c r="B46" s="110">
        <v>43.0</v>
      </c>
      <c r="C46" s="110">
        <f t="shared" si="1"/>
        <v>1075</v>
      </c>
      <c r="D46" s="111">
        <f t="shared" si="2"/>
        <v>0.8241666667</v>
      </c>
    </row>
    <row r="47">
      <c r="B47" s="110">
        <v>44.0</v>
      </c>
      <c r="C47" s="110">
        <f t="shared" si="1"/>
        <v>1100</v>
      </c>
      <c r="D47" s="111">
        <f t="shared" si="2"/>
        <v>0.8433333333</v>
      </c>
    </row>
    <row r="48">
      <c r="B48" s="110">
        <v>45.0</v>
      </c>
      <c r="C48" s="110">
        <f t="shared" si="1"/>
        <v>1125</v>
      </c>
      <c r="D48" s="111">
        <f t="shared" si="2"/>
        <v>0.8625</v>
      </c>
    </row>
    <row r="49">
      <c r="B49" s="110">
        <v>46.0</v>
      </c>
      <c r="C49" s="110">
        <f t="shared" si="1"/>
        <v>1150</v>
      </c>
      <c r="D49" s="111">
        <f t="shared" si="2"/>
        <v>0.8816666667</v>
      </c>
    </row>
    <row r="50">
      <c r="B50" s="110">
        <v>47.0</v>
      </c>
      <c r="C50" s="110">
        <f t="shared" si="1"/>
        <v>1175</v>
      </c>
      <c r="D50" s="111">
        <f t="shared" si="2"/>
        <v>0.9008333333</v>
      </c>
    </row>
    <row r="51">
      <c r="B51" s="110">
        <v>48.0</v>
      </c>
      <c r="C51" s="110">
        <f t="shared" si="1"/>
        <v>1200</v>
      </c>
      <c r="D51" s="111">
        <f t="shared" si="2"/>
        <v>0.92</v>
      </c>
    </row>
    <row r="52">
      <c r="B52" s="110">
        <v>49.0</v>
      </c>
      <c r="C52" s="110">
        <f t="shared" si="1"/>
        <v>1225</v>
      </c>
      <c r="D52" s="111">
        <f t="shared" si="2"/>
        <v>0.9391666667</v>
      </c>
    </row>
    <row r="53">
      <c r="B53" s="110">
        <v>50.0</v>
      </c>
      <c r="C53" s="110">
        <f t="shared" si="1"/>
        <v>1250</v>
      </c>
      <c r="D53" s="111">
        <f t="shared" si="2"/>
        <v>0.9583333333</v>
      </c>
    </row>
    <row r="54">
      <c r="B54" s="110">
        <v>51.0</v>
      </c>
      <c r="C54" s="110">
        <f t="shared" si="1"/>
        <v>1275</v>
      </c>
      <c r="D54" s="111">
        <f t="shared" si="2"/>
        <v>0.9775</v>
      </c>
    </row>
    <row r="55">
      <c r="B55" s="110">
        <v>52.0</v>
      </c>
      <c r="C55" s="110">
        <f t="shared" si="1"/>
        <v>1300</v>
      </c>
      <c r="D55" s="111">
        <f t="shared" si="2"/>
        <v>0.9966666667</v>
      </c>
    </row>
    <row r="56">
      <c r="B56" s="110">
        <v>53.0</v>
      </c>
      <c r="C56" s="110">
        <f t="shared" si="1"/>
        <v>1325</v>
      </c>
      <c r="D56" s="111">
        <f t="shared" si="2"/>
        <v>1.015833333</v>
      </c>
    </row>
    <row r="57">
      <c r="B57" s="110">
        <v>54.0</v>
      </c>
      <c r="C57" s="110">
        <f t="shared" si="1"/>
        <v>1350</v>
      </c>
      <c r="D57" s="111">
        <f t="shared" si="2"/>
        <v>1.035</v>
      </c>
    </row>
    <row r="58">
      <c r="B58" s="110">
        <v>55.0</v>
      </c>
      <c r="C58" s="110">
        <f t="shared" si="1"/>
        <v>1375</v>
      </c>
      <c r="D58" s="111">
        <f t="shared" si="2"/>
        <v>1.054166667</v>
      </c>
    </row>
    <row r="59">
      <c r="B59" s="110">
        <v>56.0</v>
      </c>
      <c r="C59" s="110">
        <f t="shared" si="1"/>
        <v>1400</v>
      </c>
      <c r="D59" s="111">
        <f t="shared" si="2"/>
        <v>1.073333333</v>
      </c>
    </row>
    <row r="60">
      <c r="B60" s="110">
        <v>57.0</v>
      </c>
      <c r="C60" s="110">
        <f t="shared" si="1"/>
        <v>1425</v>
      </c>
      <c r="D60" s="111">
        <f t="shared" si="2"/>
        <v>1.0925</v>
      </c>
    </row>
    <row r="61">
      <c r="B61" s="110">
        <v>58.0</v>
      </c>
      <c r="C61" s="110">
        <f t="shared" si="1"/>
        <v>1450</v>
      </c>
      <c r="D61" s="111">
        <f t="shared" si="2"/>
        <v>1.111666667</v>
      </c>
    </row>
    <row r="62">
      <c r="B62" s="110">
        <v>59.0</v>
      </c>
      <c r="C62" s="110">
        <f t="shared" si="1"/>
        <v>1475</v>
      </c>
      <c r="D62" s="111">
        <f t="shared" si="2"/>
        <v>1.130833333</v>
      </c>
    </row>
    <row r="63">
      <c r="B63" s="110">
        <v>60.0</v>
      </c>
      <c r="C63" s="110">
        <f t="shared" si="1"/>
        <v>1500</v>
      </c>
      <c r="D63" s="111">
        <f t="shared" si="2"/>
        <v>1.15</v>
      </c>
    </row>
    <row r="64">
      <c r="B64" s="110">
        <v>61.0</v>
      </c>
      <c r="C64" s="110">
        <f t="shared" si="1"/>
        <v>1525</v>
      </c>
      <c r="D64" s="111">
        <f t="shared" si="2"/>
        <v>1.169166667</v>
      </c>
    </row>
    <row r="65">
      <c r="B65" s="110">
        <v>62.0</v>
      </c>
      <c r="C65" s="110">
        <f t="shared" si="1"/>
        <v>1550</v>
      </c>
      <c r="D65" s="111">
        <f t="shared" si="2"/>
        <v>1.188333333</v>
      </c>
    </row>
    <row r="66">
      <c r="B66" s="110">
        <v>63.0</v>
      </c>
      <c r="C66" s="110">
        <f t="shared" si="1"/>
        <v>1575</v>
      </c>
      <c r="D66" s="111">
        <f t="shared" si="2"/>
        <v>1.2075</v>
      </c>
    </row>
    <row r="67">
      <c r="B67" s="110">
        <v>64.0</v>
      </c>
      <c r="C67" s="110">
        <f t="shared" si="1"/>
        <v>1600</v>
      </c>
      <c r="D67" s="111">
        <f t="shared" si="2"/>
        <v>1.226666667</v>
      </c>
    </row>
    <row r="68">
      <c r="B68" s="110">
        <v>65.0</v>
      </c>
      <c r="C68" s="110">
        <f t="shared" si="1"/>
        <v>1625</v>
      </c>
      <c r="D68" s="111">
        <f t="shared" si="2"/>
        <v>1.245833333</v>
      </c>
    </row>
    <row r="69">
      <c r="B69" s="110">
        <v>66.0</v>
      </c>
      <c r="C69" s="110">
        <f t="shared" si="1"/>
        <v>1650</v>
      </c>
      <c r="D69" s="111">
        <f t="shared" si="2"/>
        <v>1.265</v>
      </c>
    </row>
    <row r="70">
      <c r="B70" s="110">
        <v>67.0</v>
      </c>
      <c r="C70" s="110">
        <f t="shared" si="1"/>
        <v>1675</v>
      </c>
      <c r="D70" s="111">
        <f t="shared" si="2"/>
        <v>1.284166667</v>
      </c>
    </row>
    <row r="71">
      <c r="B71" s="110">
        <v>68.0</v>
      </c>
      <c r="C71" s="110">
        <f t="shared" si="1"/>
        <v>1700</v>
      </c>
      <c r="D71" s="111">
        <f t="shared" si="2"/>
        <v>1.303333333</v>
      </c>
    </row>
    <row r="72">
      <c r="B72" s="110">
        <v>69.0</v>
      </c>
      <c r="C72" s="110">
        <f t="shared" si="1"/>
        <v>1725</v>
      </c>
      <c r="D72" s="111">
        <f t="shared" si="2"/>
        <v>1.3225</v>
      </c>
    </row>
    <row r="73">
      <c r="B73" s="110">
        <v>70.0</v>
      </c>
      <c r="C73" s="110">
        <f t="shared" si="1"/>
        <v>1750</v>
      </c>
      <c r="D73" s="111">
        <f t="shared" si="2"/>
        <v>1.341666667</v>
      </c>
    </row>
    <row r="74">
      <c r="B74" s="110">
        <v>71.0</v>
      </c>
      <c r="C74" s="110">
        <f t="shared" si="1"/>
        <v>1775</v>
      </c>
      <c r="D74" s="111">
        <f t="shared" si="2"/>
        <v>1.360833333</v>
      </c>
    </row>
    <row r="75">
      <c r="B75" s="110">
        <v>72.0</v>
      </c>
      <c r="C75" s="110">
        <f t="shared" si="1"/>
        <v>1800</v>
      </c>
      <c r="D75" s="111">
        <f t="shared" si="2"/>
        <v>1.38</v>
      </c>
    </row>
    <row r="76">
      <c r="B76" s="110">
        <v>73.0</v>
      </c>
      <c r="C76" s="110">
        <f t="shared" si="1"/>
        <v>1825</v>
      </c>
      <c r="D76" s="111">
        <f t="shared" si="2"/>
        <v>1.399166667</v>
      </c>
    </row>
    <row r="77">
      <c r="B77" s="110">
        <v>74.0</v>
      </c>
      <c r="C77" s="110">
        <f t="shared" si="1"/>
        <v>1850</v>
      </c>
      <c r="D77" s="111">
        <f t="shared" si="2"/>
        <v>1.418333333</v>
      </c>
    </row>
    <row r="78">
      <c r="B78" s="110">
        <v>75.0</v>
      </c>
      <c r="C78" s="110">
        <f t="shared" si="1"/>
        <v>1875</v>
      </c>
      <c r="D78" s="111">
        <f t="shared" si="2"/>
        <v>1.4375</v>
      </c>
    </row>
    <row r="79">
      <c r="B79" s="110">
        <v>76.0</v>
      </c>
      <c r="C79" s="110">
        <f t="shared" si="1"/>
        <v>1900</v>
      </c>
      <c r="D79" s="111">
        <f t="shared" si="2"/>
        <v>1.456666667</v>
      </c>
    </row>
    <row r="80">
      <c r="B80" s="110">
        <v>77.0</v>
      </c>
      <c r="C80" s="110">
        <f t="shared" si="1"/>
        <v>1925</v>
      </c>
      <c r="D80" s="111">
        <f t="shared" si="2"/>
        <v>1.475833333</v>
      </c>
    </row>
    <row r="81">
      <c r="B81" s="110">
        <v>78.0</v>
      </c>
      <c r="C81" s="110">
        <f t="shared" si="1"/>
        <v>1950</v>
      </c>
      <c r="D81" s="111">
        <f t="shared" si="2"/>
        <v>1.495</v>
      </c>
    </row>
    <row r="82">
      <c r="B82" s="110">
        <v>79.0</v>
      </c>
      <c r="C82" s="110">
        <f t="shared" si="1"/>
        <v>1975</v>
      </c>
      <c r="D82" s="111">
        <f t="shared" si="2"/>
        <v>1.514166667</v>
      </c>
    </row>
    <row r="83">
      <c r="B83" s="110">
        <v>80.0</v>
      </c>
      <c r="C83" s="110">
        <f t="shared" si="1"/>
        <v>2000</v>
      </c>
      <c r="D83" s="111">
        <f t="shared" si="2"/>
        <v>1.533333333</v>
      </c>
    </row>
    <row r="84">
      <c r="B84" s="110">
        <v>81.0</v>
      </c>
      <c r="C84" s="110">
        <f t="shared" si="1"/>
        <v>2025</v>
      </c>
      <c r="D84" s="111">
        <f t="shared" si="2"/>
        <v>1.5525</v>
      </c>
    </row>
    <row r="85">
      <c r="B85" s="110">
        <v>82.0</v>
      </c>
      <c r="C85" s="110">
        <f t="shared" si="1"/>
        <v>2050</v>
      </c>
      <c r="D85" s="111">
        <f t="shared" si="2"/>
        <v>1.571666667</v>
      </c>
    </row>
    <row r="86">
      <c r="B86" s="110">
        <v>83.0</v>
      </c>
      <c r="C86" s="110">
        <f t="shared" si="1"/>
        <v>2075</v>
      </c>
      <c r="D86" s="111">
        <f t="shared" si="2"/>
        <v>1.590833333</v>
      </c>
    </row>
    <row r="87">
      <c r="B87" s="110">
        <v>84.0</v>
      </c>
      <c r="C87" s="110">
        <f t="shared" si="1"/>
        <v>2100</v>
      </c>
      <c r="D87" s="111">
        <f t="shared" si="2"/>
        <v>1.61</v>
      </c>
    </row>
    <row r="88">
      <c r="B88" s="110">
        <v>85.0</v>
      </c>
      <c r="C88" s="110">
        <f t="shared" si="1"/>
        <v>2125</v>
      </c>
      <c r="D88" s="111">
        <f t="shared" si="2"/>
        <v>1.629166667</v>
      </c>
    </row>
    <row r="89">
      <c r="B89" s="110">
        <v>86.0</v>
      </c>
      <c r="C89" s="110">
        <f t="shared" si="1"/>
        <v>2150</v>
      </c>
      <c r="D89" s="111">
        <f t="shared" si="2"/>
        <v>1.648333333</v>
      </c>
    </row>
    <row r="90">
      <c r="B90" s="110">
        <v>87.0</v>
      </c>
      <c r="C90" s="110">
        <f t="shared" si="1"/>
        <v>2175</v>
      </c>
      <c r="D90" s="111">
        <f t="shared" si="2"/>
        <v>1.6675</v>
      </c>
    </row>
    <row r="91">
      <c r="B91" s="110">
        <v>88.0</v>
      </c>
      <c r="C91" s="110">
        <f t="shared" si="1"/>
        <v>2200</v>
      </c>
      <c r="D91" s="111">
        <f t="shared" si="2"/>
        <v>1.686666667</v>
      </c>
    </row>
    <row r="92">
      <c r="B92" s="110">
        <v>89.0</v>
      </c>
      <c r="C92" s="110">
        <f t="shared" si="1"/>
        <v>2225</v>
      </c>
      <c r="D92" s="111">
        <f t="shared" si="2"/>
        <v>1.705833333</v>
      </c>
    </row>
    <row r="93">
      <c r="B93" s="110">
        <v>90.0</v>
      </c>
      <c r="C93" s="110">
        <f t="shared" si="1"/>
        <v>2250</v>
      </c>
      <c r="D93" s="111">
        <f t="shared" si="2"/>
        <v>1.725</v>
      </c>
    </row>
    <row r="94">
      <c r="B94" s="110">
        <v>91.0</v>
      </c>
      <c r="C94" s="110">
        <f t="shared" si="1"/>
        <v>2275</v>
      </c>
      <c r="D94" s="111">
        <f t="shared" si="2"/>
        <v>1.744166667</v>
      </c>
    </row>
    <row r="95">
      <c r="B95" s="110">
        <v>92.0</v>
      </c>
      <c r="C95" s="110">
        <f t="shared" si="1"/>
        <v>2300</v>
      </c>
      <c r="D95" s="111">
        <f t="shared" si="2"/>
        <v>1.763333333</v>
      </c>
    </row>
    <row r="96">
      <c r="B96" s="110">
        <v>93.0</v>
      </c>
      <c r="C96" s="110">
        <f t="shared" si="1"/>
        <v>2325</v>
      </c>
      <c r="D96" s="111">
        <f t="shared" si="2"/>
        <v>1.7825</v>
      </c>
    </row>
    <row r="97">
      <c r="B97" s="110">
        <v>94.0</v>
      </c>
      <c r="C97" s="110">
        <f t="shared" si="1"/>
        <v>2350</v>
      </c>
      <c r="D97" s="111">
        <f t="shared" si="2"/>
        <v>1.801666667</v>
      </c>
    </row>
    <row r="98">
      <c r="B98" s="110">
        <v>95.0</v>
      </c>
      <c r="C98" s="110">
        <f t="shared" si="1"/>
        <v>2375</v>
      </c>
      <c r="D98" s="111">
        <f t="shared" si="2"/>
        <v>1.820833333</v>
      </c>
    </row>
    <row r="99">
      <c r="B99" s="110">
        <v>96.0</v>
      </c>
      <c r="C99" s="110">
        <f t="shared" si="1"/>
        <v>2400</v>
      </c>
      <c r="D99" s="111">
        <f t="shared" si="2"/>
        <v>1.84</v>
      </c>
    </row>
    <row r="100">
      <c r="B100" s="110">
        <v>97.0</v>
      </c>
      <c r="C100" s="110">
        <f t="shared" si="1"/>
        <v>2425</v>
      </c>
      <c r="D100" s="111">
        <f t="shared" si="2"/>
        <v>1.859166667</v>
      </c>
    </row>
    <row r="101">
      <c r="B101" s="110">
        <v>98.0</v>
      </c>
      <c r="C101" s="110">
        <f t="shared" si="1"/>
        <v>2450</v>
      </c>
      <c r="D101" s="111">
        <f t="shared" si="2"/>
        <v>1.878333333</v>
      </c>
    </row>
    <row r="102">
      <c r="B102" s="110">
        <v>99.0</v>
      </c>
      <c r="C102" s="110">
        <f t="shared" si="1"/>
        <v>2475</v>
      </c>
      <c r="D102" s="111">
        <f t="shared" si="2"/>
        <v>1.8975</v>
      </c>
    </row>
    <row r="103">
      <c r="B103" s="110">
        <v>100.0</v>
      </c>
      <c r="C103" s="110">
        <f t="shared" si="1"/>
        <v>2500</v>
      </c>
      <c r="D103" s="111">
        <f t="shared" si="2"/>
        <v>1.916666667</v>
      </c>
    </row>
    <row r="104">
      <c r="B104" s="110">
        <v>101.0</v>
      </c>
      <c r="C104" s="110">
        <f t="shared" si="1"/>
        <v>2525</v>
      </c>
      <c r="D104" s="111">
        <f t="shared" si="2"/>
        <v>1.935833333</v>
      </c>
    </row>
    <row r="105">
      <c r="B105" s="110">
        <v>102.0</v>
      </c>
      <c r="C105" s="110">
        <f t="shared" si="1"/>
        <v>2550</v>
      </c>
      <c r="D105" s="111">
        <f t="shared" si="2"/>
        <v>1.955</v>
      </c>
    </row>
    <row r="106">
      <c r="B106" s="110">
        <v>103.0</v>
      </c>
      <c r="C106" s="110">
        <f t="shared" si="1"/>
        <v>2575</v>
      </c>
      <c r="D106" s="111">
        <f t="shared" si="2"/>
        <v>1.974166667</v>
      </c>
    </row>
    <row r="107">
      <c r="B107" s="110">
        <v>104.0</v>
      </c>
      <c r="C107" s="110">
        <f t="shared" si="1"/>
        <v>2600</v>
      </c>
      <c r="D107" s="111">
        <f t="shared" si="2"/>
        <v>1.993333333</v>
      </c>
    </row>
    <row r="108">
      <c r="B108" s="110">
        <v>105.0</v>
      </c>
      <c r="C108" s="110">
        <f t="shared" si="1"/>
        <v>2625</v>
      </c>
      <c r="D108" s="111">
        <f t="shared" si="2"/>
        <v>2.0125</v>
      </c>
    </row>
    <row r="109">
      <c r="B109" s="110">
        <v>106.0</v>
      </c>
      <c r="C109" s="110">
        <f t="shared" si="1"/>
        <v>2650</v>
      </c>
      <c r="D109" s="111">
        <f t="shared" si="2"/>
        <v>2.031666667</v>
      </c>
    </row>
    <row r="110">
      <c r="B110" s="110">
        <v>107.0</v>
      </c>
      <c r="C110" s="110">
        <f t="shared" si="1"/>
        <v>2675</v>
      </c>
      <c r="D110" s="111">
        <f t="shared" si="2"/>
        <v>2.050833333</v>
      </c>
    </row>
    <row r="111">
      <c r="B111" s="110">
        <v>108.0</v>
      </c>
      <c r="C111" s="110">
        <f t="shared" si="1"/>
        <v>2700</v>
      </c>
      <c r="D111" s="111">
        <f t="shared" si="2"/>
        <v>2.07</v>
      </c>
    </row>
    <row r="112">
      <c r="B112" s="110">
        <v>109.0</v>
      </c>
      <c r="C112" s="110">
        <f t="shared" si="1"/>
        <v>2725</v>
      </c>
      <c r="D112" s="111">
        <f t="shared" si="2"/>
        <v>2.089166667</v>
      </c>
    </row>
    <row r="113">
      <c r="B113" s="110">
        <v>110.0</v>
      </c>
      <c r="C113" s="110">
        <f t="shared" si="1"/>
        <v>2750</v>
      </c>
      <c r="D113" s="111">
        <f t="shared" si="2"/>
        <v>2.108333333</v>
      </c>
    </row>
    <row r="114">
      <c r="B114" s="110">
        <v>111.0</v>
      </c>
      <c r="C114" s="110">
        <f t="shared" si="1"/>
        <v>2775</v>
      </c>
      <c r="D114" s="111">
        <f t="shared" si="2"/>
        <v>2.1275</v>
      </c>
    </row>
    <row r="115">
      <c r="B115" s="110">
        <v>112.0</v>
      </c>
      <c r="C115" s="110">
        <f t="shared" si="1"/>
        <v>2800</v>
      </c>
      <c r="D115" s="111">
        <f t="shared" si="2"/>
        <v>2.146666667</v>
      </c>
    </row>
    <row r="116">
      <c r="B116" s="110">
        <v>113.0</v>
      </c>
      <c r="C116" s="110">
        <f t="shared" si="1"/>
        <v>2825</v>
      </c>
      <c r="D116" s="111">
        <f t="shared" si="2"/>
        <v>2.165833333</v>
      </c>
    </row>
    <row r="117">
      <c r="B117" s="110">
        <v>114.0</v>
      </c>
      <c r="C117" s="110">
        <f t="shared" si="1"/>
        <v>2850</v>
      </c>
      <c r="D117" s="111">
        <f t="shared" si="2"/>
        <v>2.185</v>
      </c>
    </row>
    <row r="118">
      <c r="B118" s="110">
        <v>115.0</v>
      </c>
      <c r="C118" s="110">
        <f t="shared" si="1"/>
        <v>2875</v>
      </c>
      <c r="D118" s="111">
        <f t="shared" si="2"/>
        <v>2.204166667</v>
      </c>
    </row>
    <row r="119">
      <c r="B119" s="110">
        <v>116.0</v>
      </c>
      <c r="C119" s="110">
        <f t="shared" si="1"/>
        <v>2900</v>
      </c>
      <c r="D119" s="111">
        <f t="shared" si="2"/>
        <v>2.223333333</v>
      </c>
    </row>
    <row r="120">
      <c r="B120" s="110">
        <v>117.0</v>
      </c>
      <c r="C120" s="110">
        <f t="shared" si="1"/>
        <v>2925</v>
      </c>
      <c r="D120" s="111">
        <f t="shared" si="2"/>
        <v>2.2425</v>
      </c>
    </row>
    <row r="121">
      <c r="B121" s="110">
        <v>118.0</v>
      </c>
      <c r="C121" s="110">
        <f t="shared" si="1"/>
        <v>2950</v>
      </c>
      <c r="D121" s="111">
        <f t="shared" si="2"/>
        <v>2.261666667</v>
      </c>
    </row>
    <row r="122">
      <c r="B122" s="110">
        <v>119.0</v>
      </c>
      <c r="C122" s="110">
        <f t="shared" si="1"/>
        <v>2975</v>
      </c>
      <c r="D122" s="111">
        <f t="shared" si="2"/>
        <v>2.280833333</v>
      </c>
    </row>
    <row r="123">
      <c r="B123" s="110">
        <v>120.0</v>
      </c>
      <c r="C123" s="110">
        <f t="shared" si="1"/>
        <v>3000</v>
      </c>
      <c r="D123" s="111">
        <f t="shared" si="2"/>
        <v>2.3</v>
      </c>
    </row>
    <row r="124">
      <c r="B124" s="110">
        <v>121.0</v>
      </c>
      <c r="C124" s="110">
        <f t="shared" si="1"/>
        <v>3025</v>
      </c>
      <c r="D124" s="111">
        <f t="shared" si="2"/>
        <v>2.319166667</v>
      </c>
    </row>
    <row r="125">
      <c r="B125" s="110">
        <v>122.0</v>
      </c>
      <c r="C125" s="110">
        <f t="shared" si="1"/>
        <v>3050</v>
      </c>
      <c r="D125" s="111">
        <f t="shared" si="2"/>
        <v>2.338333333</v>
      </c>
    </row>
    <row r="126">
      <c r="B126" s="110">
        <v>123.0</v>
      </c>
      <c r="C126" s="110">
        <f t="shared" si="1"/>
        <v>3075</v>
      </c>
      <c r="D126" s="111">
        <f t="shared" si="2"/>
        <v>2.3575</v>
      </c>
    </row>
    <row r="127">
      <c r="B127" s="110">
        <v>124.0</v>
      </c>
      <c r="C127" s="110">
        <f t="shared" si="1"/>
        <v>3100</v>
      </c>
      <c r="D127" s="111">
        <f t="shared" si="2"/>
        <v>2.376666667</v>
      </c>
    </row>
    <row r="128">
      <c r="B128" s="110">
        <v>125.0</v>
      </c>
      <c r="C128" s="110">
        <f t="shared" si="1"/>
        <v>3125</v>
      </c>
      <c r="D128" s="111">
        <f t="shared" si="2"/>
        <v>2.395833333</v>
      </c>
    </row>
    <row r="129">
      <c r="B129" s="110">
        <v>126.0</v>
      </c>
      <c r="C129" s="110">
        <f t="shared" si="1"/>
        <v>3150</v>
      </c>
      <c r="D129" s="111">
        <f t="shared" si="2"/>
        <v>2.415</v>
      </c>
    </row>
    <row r="130">
      <c r="B130" s="110">
        <v>127.0</v>
      </c>
      <c r="C130" s="110">
        <f t="shared" si="1"/>
        <v>3175</v>
      </c>
      <c r="D130" s="111">
        <f t="shared" si="2"/>
        <v>2.434166667</v>
      </c>
    </row>
    <row r="131">
      <c r="B131" s="110">
        <v>128.0</v>
      </c>
      <c r="C131" s="110">
        <f t="shared" si="1"/>
        <v>3200</v>
      </c>
      <c r="D131" s="111">
        <f t="shared" si="2"/>
        <v>2.453333333</v>
      </c>
    </row>
    <row r="132">
      <c r="B132" s="110">
        <v>129.0</v>
      </c>
      <c r="C132" s="110">
        <f t="shared" si="1"/>
        <v>3225</v>
      </c>
      <c r="D132" s="111">
        <f t="shared" si="2"/>
        <v>2.4725</v>
      </c>
    </row>
    <row r="133">
      <c r="B133" s="110">
        <v>130.0</v>
      </c>
      <c r="C133" s="110">
        <f t="shared" si="1"/>
        <v>3250</v>
      </c>
      <c r="D133" s="111">
        <f t="shared" si="2"/>
        <v>2.491666667</v>
      </c>
    </row>
    <row r="134">
      <c r="B134" s="110">
        <v>131.0</v>
      </c>
      <c r="C134" s="110">
        <f t="shared" si="1"/>
        <v>3275</v>
      </c>
      <c r="D134" s="111">
        <f t="shared" si="2"/>
        <v>2.510833333</v>
      </c>
    </row>
    <row r="135">
      <c r="B135" s="110">
        <v>132.0</v>
      </c>
      <c r="C135" s="110">
        <f t="shared" si="1"/>
        <v>3300</v>
      </c>
      <c r="D135" s="111">
        <f t="shared" si="2"/>
        <v>2.53</v>
      </c>
    </row>
    <row r="136">
      <c r="B136" s="110">
        <v>133.0</v>
      </c>
      <c r="C136" s="110">
        <f t="shared" si="1"/>
        <v>3325</v>
      </c>
      <c r="D136" s="111">
        <f t="shared" si="2"/>
        <v>2.549166667</v>
      </c>
    </row>
    <row r="137">
      <c r="B137" s="110">
        <v>134.0</v>
      </c>
      <c r="C137" s="110">
        <f t="shared" si="1"/>
        <v>3350</v>
      </c>
      <c r="D137" s="111">
        <f t="shared" si="2"/>
        <v>2.568333333</v>
      </c>
    </row>
    <row r="138">
      <c r="B138" s="110">
        <v>135.0</v>
      </c>
      <c r="C138" s="110">
        <f t="shared" si="1"/>
        <v>3375</v>
      </c>
      <c r="D138" s="111">
        <f t="shared" si="2"/>
        <v>2.5875</v>
      </c>
    </row>
    <row r="139">
      <c r="B139" s="110">
        <v>136.0</v>
      </c>
      <c r="C139" s="110">
        <f t="shared" si="1"/>
        <v>3400</v>
      </c>
      <c r="D139" s="111">
        <f t="shared" si="2"/>
        <v>2.606666667</v>
      </c>
    </row>
    <row r="140">
      <c r="B140" s="110">
        <v>137.0</v>
      </c>
      <c r="C140" s="110">
        <f t="shared" si="1"/>
        <v>3425</v>
      </c>
      <c r="D140" s="111">
        <f t="shared" si="2"/>
        <v>2.625833333</v>
      </c>
    </row>
    <row r="141">
      <c r="B141" s="110">
        <v>138.0</v>
      </c>
      <c r="C141" s="110">
        <f t="shared" si="1"/>
        <v>3450</v>
      </c>
      <c r="D141" s="111">
        <f t="shared" si="2"/>
        <v>2.645</v>
      </c>
    </row>
    <row r="142">
      <c r="B142" s="110">
        <v>139.0</v>
      </c>
      <c r="C142" s="110">
        <f t="shared" si="1"/>
        <v>3475</v>
      </c>
      <c r="D142" s="111">
        <f t="shared" si="2"/>
        <v>2.664166667</v>
      </c>
    </row>
    <row r="143">
      <c r="B143" s="110">
        <v>140.0</v>
      </c>
      <c r="C143" s="110">
        <f t="shared" si="1"/>
        <v>3500</v>
      </c>
      <c r="D143" s="111">
        <f t="shared" si="2"/>
        <v>2.683333333</v>
      </c>
    </row>
    <row r="144">
      <c r="B144" s="110">
        <v>141.0</v>
      </c>
      <c r="C144" s="110">
        <f t="shared" si="1"/>
        <v>3525</v>
      </c>
      <c r="D144" s="111">
        <f t="shared" si="2"/>
        <v>2.7025</v>
      </c>
    </row>
    <row r="145">
      <c r="B145" s="110">
        <v>142.0</v>
      </c>
      <c r="C145" s="110">
        <f t="shared" si="1"/>
        <v>3550</v>
      </c>
      <c r="D145" s="111">
        <f t="shared" si="2"/>
        <v>2.721666667</v>
      </c>
    </row>
    <row r="146">
      <c r="B146" s="110">
        <v>143.0</v>
      </c>
      <c r="C146" s="110">
        <f t="shared" si="1"/>
        <v>3575</v>
      </c>
      <c r="D146" s="111">
        <f t="shared" si="2"/>
        <v>2.740833333</v>
      </c>
    </row>
    <row r="147">
      <c r="B147" s="110">
        <v>144.0</v>
      </c>
      <c r="C147" s="110">
        <f t="shared" si="1"/>
        <v>3600</v>
      </c>
      <c r="D147" s="111">
        <f t="shared" si="2"/>
        <v>2.76</v>
      </c>
    </row>
    <row r="148">
      <c r="B148" s="110">
        <v>145.0</v>
      </c>
      <c r="C148" s="110">
        <f t="shared" si="1"/>
        <v>3625</v>
      </c>
      <c r="D148" s="111">
        <f t="shared" si="2"/>
        <v>2.779166667</v>
      </c>
    </row>
    <row r="149">
      <c r="B149" s="110">
        <v>146.0</v>
      </c>
      <c r="C149" s="110">
        <f t="shared" si="1"/>
        <v>3650</v>
      </c>
      <c r="D149" s="111">
        <f t="shared" si="2"/>
        <v>2.798333333</v>
      </c>
    </row>
    <row r="150">
      <c r="B150" s="110">
        <v>147.0</v>
      </c>
      <c r="C150" s="110">
        <f t="shared" si="1"/>
        <v>3675</v>
      </c>
      <c r="D150" s="111">
        <f t="shared" si="2"/>
        <v>2.8175</v>
      </c>
    </row>
    <row r="151">
      <c r="B151" s="110">
        <v>148.0</v>
      </c>
      <c r="C151" s="110">
        <f t="shared" si="1"/>
        <v>3700</v>
      </c>
      <c r="D151" s="111">
        <f t="shared" si="2"/>
        <v>2.836666667</v>
      </c>
    </row>
    <row r="152">
      <c r="B152" s="110">
        <v>149.0</v>
      </c>
      <c r="C152" s="110">
        <f t="shared" si="1"/>
        <v>3725</v>
      </c>
      <c r="D152" s="111">
        <f t="shared" si="2"/>
        <v>2.855833333</v>
      </c>
    </row>
    <row r="153">
      <c r="B153" s="110">
        <v>150.0</v>
      </c>
      <c r="C153" s="110">
        <f t="shared" si="1"/>
        <v>3750</v>
      </c>
      <c r="D153" s="111">
        <f t="shared" si="2"/>
        <v>2.875</v>
      </c>
    </row>
    <row r="154">
      <c r="B154" s="110">
        <v>151.0</v>
      </c>
      <c r="C154" s="110">
        <f t="shared" si="1"/>
        <v>3775</v>
      </c>
      <c r="D154" s="111">
        <f t="shared" si="2"/>
        <v>2.894166667</v>
      </c>
    </row>
    <row r="155">
      <c r="B155" s="110">
        <v>152.0</v>
      </c>
      <c r="C155" s="110">
        <f t="shared" si="1"/>
        <v>3800</v>
      </c>
      <c r="D155" s="111">
        <f t="shared" si="2"/>
        <v>2.913333333</v>
      </c>
    </row>
    <row r="156">
      <c r="B156" s="110">
        <v>153.0</v>
      </c>
      <c r="C156" s="110">
        <f t="shared" si="1"/>
        <v>3825</v>
      </c>
      <c r="D156" s="111">
        <f t="shared" si="2"/>
        <v>2.9325</v>
      </c>
    </row>
    <row r="157">
      <c r="B157" s="110">
        <v>154.0</v>
      </c>
      <c r="C157" s="110">
        <f t="shared" si="1"/>
        <v>3850</v>
      </c>
      <c r="D157" s="111">
        <f t="shared" si="2"/>
        <v>2.951666667</v>
      </c>
    </row>
    <row r="158">
      <c r="B158" s="110">
        <v>155.0</v>
      </c>
      <c r="C158" s="110">
        <f t="shared" si="1"/>
        <v>3875</v>
      </c>
      <c r="D158" s="111">
        <f t="shared" si="2"/>
        <v>2.970833333</v>
      </c>
    </row>
    <row r="159">
      <c r="B159" s="110">
        <v>156.0</v>
      </c>
      <c r="C159" s="110">
        <f t="shared" si="1"/>
        <v>3900</v>
      </c>
      <c r="D159" s="111">
        <f t="shared" si="2"/>
        <v>2.99</v>
      </c>
    </row>
    <row r="160">
      <c r="B160" s="110">
        <v>157.0</v>
      </c>
      <c r="C160" s="110">
        <f t="shared" si="1"/>
        <v>3925</v>
      </c>
      <c r="D160" s="111">
        <f t="shared" si="2"/>
        <v>3.009166667</v>
      </c>
    </row>
    <row r="161">
      <c r="B161" s="110">
        <v>158.0</v>
      </c>
      <c r="C161" s="110">
        <f t="shared" si="1"/>
        <v>3950</v>
      </c>
      <c r="D161" s="111">
        <f t="shared" si="2"/>
        <v>3.028333333</v>
      </c>
    </row>
    <row r="162">
      <c r="B162" s="110">
        <v>159.0</v>
      </c>
      <c r="C162" s="110">
        <f t="shared" si="1"/>
        <v>3975</v>
      </c>
      <c r="D162" s="111">
        <f t="shared" si="2"/>
        <v>3.0475</v>
      </c>
    </row>
    <row r="163">
      <c r="B163" s="110">
        <v>160.0</v>
      </c>
      <c r="C163" s="110">
        <f t="shared" si="1"/>
        <v>4000</v>
      </c>
      <c r="D163" s="111">
        <f t="shared" si="2"/>
        <v>3.066666667</v>
      </c>
    </row>
    <row r="164">
      <c r="B164" s="110">
        <v>161.0</v>
      </c>
      <c r="C164" s="110">
        <f t="shared" si="1"/>
        <v>4025</v>
      </c>
      <c r="D164" s="111">
        <f t="shared" si="2"/>
        <v>3.085833333</v>
      </c>
    </row>
    <row r="165">
      <c r="B165" s="110">
        <v>162.0</v>
      </c>
      <c r="C165" s="110">
        <f t="shared" si="1"/>
        <v>4050</v>
      </c>
      <c r="D165" s="111">
        <f t="shared" si="2"/>
        <v>3.105</v>
      </c>
    </row>
    <row r="166">
      <c r="B166" s="110">
        <v>163.0</v>
      </c>
      <c r="C166" s="110">
        <f t="shared" si="1"/>
        <v>4075</v>
      </c>
      <c r="D166" s="111">
        <f t="shared" si="2"/>
        <v>3.124166667</v>
      </c>
    </row>
    <row r="167">
      <c r="B167" s="110">
        <v>164.0</v>
      </c>
      <c r="C167" s="110">
        <f t="shared" si="1"/>
        <v>4100</v>
      </c>
      <c r="D167" s="111">
        <f t="shared" si="2"/>
        <v>3.143333333</v>
      </c>
    </row>
    <row r="168">
      <c r="B168" s="110">
        <v>165.0</v>
      </c>
      <c r="C168" s="110">
        <f t="shared" si="1"/>
        <v>4125</v>
      </c>
      <c r="D168" s="111">
        <f t="shared" si="2"/>
        <v>3.1625</v>
      </c>
    </row>
    <row r="169">
      <c r="B169" s="110">
        <v>166.0</v>
      </c>
      <c r="C169" s="110">
        <f t="shared" si="1"/>
        <v>4150</v>
      </c>
      <c r="D169" s="111">
        <f t="shared" si="2"/>
        <v>3.181666667</v>
      </c>
    </row>
    <row r="170">
      <c r="B170" s="110">
        <v>167.0</v>
      </c>
      <c r="C170" s="110">
        <f t="shared" si="1"/>
        <v>4175</v>
      </c>
      <c r="D170" s="111">
        <f t="shared" si="2"/>
        <v>3.200833333</v>
      </c>
    </row>
    <row r="171">
      <c r="B171" s="110">
        <v>168.0</v>
      </c>
      <c r="C171" s="110">
        <f t="shared" si="1"/>
        <v>4200</v>
      </c>
      <c r="D171" s="111">
        <f t="shared" si="2"/>
        <v>3.22</v>
      </c>
    </row>
    <row r="172">
      <c r="B172" s="110">
        <v>169.0</v>
      </c>
      <c r="C172" s="110">
        <f t="shared" si="1"/>
        <v>4225</v>
      </c>
      <c r="D172" s="111">
        <f t="shared" si="2"/>
        <v>3.239166667</v>
      </c>
    </row>
    <row r="173">
      <c r="B173" s="110">
        <v>170.0</v>
      </c>
      <c r="C173" s="110">
        <f t="shared" si="1"/>
        <v>4250</v>
      </c>
      <c r="D173" s="111">
        <f t="shared" si="2"/>
        <v>3.258333333</v>
      </c>
    </row>
    <row r="174">
      <c r="B174" s="110">
        <v>171.0</v>
      </c>
      <c r="C174" s="110">
        <f t="shared" si="1"/>
        <v>4275</v>
      </c>
      <c r="D174" s="111">
        <f t="shared" si="2"/>
        <v>3.2775</v>
      </c>
    </row>
    <row r="175">
      <c r="B175" s="110">
        <v>172.0</v>
      </c>
      <c r="C175" s="110">
        <f t="shared" si="1"/>
        <v>4300</v>
      </c>
      <c r="D175" s="111">
        <f t="shared" si="2"/>
        <v>3.296666667</v>
      </c>
    </row>
    <row r="176">
      <c r="B176" s="110">
        <v>173.0</v>
      </c>
      <c r="C176" s="110">
        <f t="shared" si="1"/>
        <v>4325</v>
      </c>
      <c r="D176" s="111">
        <f t="shared" si="2"/>
        <v>3.315833333</v>
      </c>
    </row>
    <row r="177">
      <c r="B177" s="110">
        <v>174.0</v>
      </c>
      <c r="C177" s="110">
        <f t="shared" si="1"/>
        <v>4350</v>
      </c>
      <c r="D177" s="111">
        <f t="shared" si="2"/>
        <v>3.335</v>
      </c>
    </row>
    <row r="178">
      <c r="B178" s="110">
        <v>175.0</v>
      </c>
      <c r="C178" s="110">
        <f t="shared" si="1"/>
        <v>4375</v>
      </c>
      <c r="D178" s="111">
        <f t="shared" si="2"/>
        <v>3.354166667</v>
      </c>
    </row>
    <row r="179">
      <c r="B179" s="110">
        <v>176.0</v>
      </c>
      <c r="C179" s="110">
        <f t="shared" si="1"/>
        <v>4400</v>
      </c>
      <c r="D179" s="111">
        <f t="shared" si="2"/>
        <v>3.373333333</v>
      </c>
    </row>
    <row r="180">
      <c r="B180" s="110">
        <v>177.0</v>
      </c>
      <c r="C180" s="110">
        <f t="shared" si="1"/>
        <v>4425</v>
      </c>
      <c r="D180" s="111">
        <f t="shared" si="2"/>
        <v>3.3925</v>
      </c>
    </row>
    <row r="181">
      <c r="B181" s="110">
        <v>178.0</v>
      </c>
      <c r="C181" s="110">
        <f t="shared" si="1"/>
        <v>4450</v>
      </c>
      <c r="D181" s="111">
        <f t="shared" si="2"/>
        <v>3.411666667</v>
      </c>
    </row>
    <row r="182">
      <c r="B182" s="110">
        <v>179.0</v>
      </c>
      <c r="C182" s="110">
        <f t="shared" si="1"/>
        <v>4475</v>
      </c>
      <c r="D182" s="111">
        <f t="shared" si="2"/>
        <v>3.430833333</v>
      </c>
    </row>
    <row r="183">
      <c r="B183" s="110">
        <v>180.0</v>
      </c>
      <c r="C183" s="110">
        <f t="shared" si="1"/>
        <v>4500</v>
      </c>
      <c r="D183" s="111">
        <f t="shared" si="2"/>
        <v>3.45</v>
      </c>
    </row>
    <row r="184">
      <c r="B184" s="110">
        <v>181.0</v>
      </c>
      <c r="C184" s="110">
        <f t="shared" si="1"/>
        <v>4525</v>
      </c>
      <c r="D184" s="111">
        <f t="shared" si="2"/>
        <v>3.469166667</v>
      </c>
    </row>
    <row r="185">
      <c r="B185" s="110">
        <v>182.0</v>
      </c>
      <c r="C185" s="110">
        <f t="shared" si="1"/>
        <v>4550</v>
      </c>
      <c r="D185" s="111">
        <f t="shared" si="2"/>
        <v>3.488333333</v>
      </c>
    </row>
    <row r="186">
      <c r="B186" s="110">
        <v>183.0</v>
      </c>
      <c r="C186" s="110">
        <f t="shared" si="1"/>
        <v>4575</v>
      </c>
      <c r="D186" s="111">
        <f t="shared" si="2"/>
        <v>3.5075</v>
      </c>
    </row>
    <row r="187">
      <c r="B187" s="110">
        <v>184.0</v>
      </c>
      <c r="C187" s="110">
        <f t="shared" si="1"/>
        <v>4600</v>
      </c>
      <c r="D187" s="111">
        <f t="shared" si="2"/>
        <v>3.526666667</v>
      </c>
    </row>
    <row r="188">
      <c r="B188" s="110">
        <v>185.0</v>
      </c>
      <c r="C188" s="110">
        <f t="shared" si="1"/>
        <v>4625</v>
      </c>
      <c r="D188" s="111">
        <f t="shared" si="2"/>
        <v>3.545833333</v>
      </c>
    </row>
    <row r="189">
      <c r="B189" s="110">
        <v>186.0</v>
      </c>
      <c r="C189" s="110">
        <f t="shared" si="1"/>
        <v>4650</v>
      </c>
      <c r="D189" s="111">
        <f t="shared" si="2"/>
        <v>3.565</v>
      </c>
    </row>
    <row r="190">
      <c r="B190" s="110">
        <v>187.0</v>
      </c>
      <c r="C190" s="110">
        <f t="shared" si="1"/>
        <v>4675</v>
      </c>
      <c r="D190" s="111">
        <f t="shared" si="2"/>
        <v>3.584166667</v>
      </c>
    </row>
    <row r="191">
      <c r="B191" s="110">
        <v>188.0</v>
      </c>
      <c r="C191" s="110">
        <f t="shared" si="1"/>
        <v>4700</v>
      </c>
      <c r="D191" s="111">
        <f t="shared" si="2"/>
        <v>3.603333333</v>
      </c>
    </row>
    <row r="192">
      <c r="B192" s="110">
        <v>189.0</v>
      </c>
      <c r="C192" s="110">
        <f t="shared" si="1"/>
        <v>4725</v>
      </c>
      <c r="D192" s="111">
        <f t="shared" si="2"/>
        <v>3.6225</v>
      </c>
    </row>
    <row r="193">
      <c r="B193" s="110">
        <v>190.0</v>
      </c>
      <c r="C193" s="110">
        <f t="shared" si="1"/>
        <v>4750</v>
      </c>
      <c r="D193" s="111">
        <f t="shared" si="2"/>
        <v>3.641666667</v>
      </c>
    </row>
    <row r="194">
      <c r="B194" s="110">
        <v>191.0</v>
      </c>
      <c r="C194" s="110">
        <f t="shared" si="1"/>
        <v>4775</v>
      </c>
      <c r="D194" s="111">
        <f t="shared" si="2"/>
        <v>3.660833333</v>
      </c>
    </row>
    <row r="195">
      <c r="B195" s="110">
        <v>192.0</v>
      </c>
      <c r="C195" s="110">
        <f t="shared" si="1"/>
        <v>4800</v>
      </c>
      <c r="D195" s="111">
        <f t="shared" si="2"/>
        <v>3.68</v>
      </c>
    </row>
    <row r="196">
      <c r="B196" s="110">
        <v>193.0</v>
      </c>
      <c r="C196" s="110">
        <f t="shared" si="1"/>
        <v>4825</v>
      </c>
      <c r="D196" s="111">
        <f t="shared" si="2"/>
        <v>3.699166667</v>
      </c>
    </row>
    <row r="197">
      <c r="B197" s="110">
        <v>194.0</v>
      </c>
      <c r="C197" s="110">
        <f t="shared" si="1"/>
        <v>4850</v>
      </c>
      <c r="D197" s="111">
        <f t="shared" si="2"/>
        <v>3.718333333</v>
      </c>
    </row>
    <row r="198">
      <c r="B198" s="110">
        <v>195.0</v>
      </c>
      <c r="C198" s="110">
        <f t="shared" si="1"/>
        <v>4875</v>
      </c>
      <c r="D198" s="111">
        <f t="shared" si="2"/>
        <v>3.7375</v>
      </c>
    </row>
    <row r="199">
      <c r="B199" s="110">
        <v>196.0</v>
      </c>
      <c r="C199" s="110">
        <f t="shared" si="1"/>
        <v>4900</v>
      </c>
      <c r="D199" s="111">
        <f t="shared" si="2"/>
        <v>3.756666667</v>
      </c>
    </row>
    <row r="200">
      <c r="B200" s="110">
        <v>197.0</v>
      </c>
      <c r="C200" s="110">
        <f t="shared" si="1"/>
        <v>4925</v>
      </c>
      <c r="D200" s="111">
        <f t="shared" si="2"/>
        <v>3.775833333</v>
      </c>
    </row>
    <row r="201">
      <c r="B201" s="110">
        <v>198.0</v>
      </c>
      <c r="C201" s="110">
        <f t="shared" si="1"/>
        <v>4950</v>
      </c>
      <c r="D201" s="111">
        <f t="shared" si="2"/>
        <v>3.795</v>
      </c>
    </row>
    <row r="202">
      <c r="B202" s="110">
        <v>199.0</v>
      </c>
      <c r="C202" s="110">
        <f t="shared" si="1"/>
        <v>4975</v>
      </c>
      <c r="D202" s="111">
        <f t="shared" si="2"/>
        <v>3.814166667</v>
      </c>
    </row>
    <row r="203">
      <c r="B203" s="110">
        <v>200.0</v>
      </c>
      <c r="C203" s="110">
        <f t="shared" si="1"/>
        <v>5000</v>
      </c>
      <c r="D203" s="111">
        <f t="shared" si="2"/>
        <v>3.833333333</v>
      </c>
    </row>
    <row r="204">
      <c r="B204" s="110">
        <v>201.0</v>
      </c>
      <c r="C204" s="110">
        <f t="shared" si="1"/>
        <v>5025</v>
      </c>
      <c r="D204" s="111">
        <f t="shared" si="2"/>
        <v>3.8525</v>
      </c>
    </row>
    <row r="205">
      <c r="B205" s="110">
        <v>202.0</v>
      </c>
      <c r="C205" s="110">
        <f t="shared" si="1"/>
        <v>5050</v>
      </c>
      <c r="D205" s="111">
        <f t="shared" si="2"/>
        <v>3.871666667</v>
      </c>
    </row>
    <row r="206">
      <c r="B206" s="110">
        <v>203.0</v>
      </c>
      <c r="C206" s="110">
        <f t="shared" si="1"/>
        <v>5075</v>
      </c>
      <c r="D206" s="111">
        <f t="shared" si="2"/>
        <v>3.890833333</v>
      </c>
    </row>
    <row r="207">
      <c r="B207" s="110">
        <v>204.0</v>
      </c>
      <c r="C207" s="110">
        <f t="shared" si="1"/>
        <v>5100</v>
      </c>
      <c r="D207" s="111">
        <f t="shared" si="2"/>
        <v>3.91</v>
      </c>
    </row>
    <row r="208">
      <c r="B208" s="110">
        <v>205.0</v>
      </c>
      <c r="C208" s="110">
        <f t="shared" si="1"/>
        <v>5125</v>
      </c>
      <c r="D208" s="111">
        <f t="shared" si="2"/>
        <v>3.929166667</v>
      </c>
    </row>
    <row r="209">
      <c r="B209" s="110">
        <v>206.0</v>
      </c>
      <c r="C209" s="110">
        <f t="shared" si="1"/>
        <v>5150</v>
      </c>
      <c r="D209" s="111">
        <f t="shared" si="2"/>
        <v>3.948333333</v>
      </c>
    </row>
    <row r="210">
      <c r="B210" s="110">
        <v>207.0</v>
      </c>
      <c r="C210" s="110">
        <f t="shared" si="1"/>
        <v>5175</v>
      </c>
      <c r="D210" s="111">
        <f t="shared" si="2"/>
        <v>3.9675</v>
      </c>
    </row>
    <row r="211">
      <c r="B211" s="110">
        <v>208.0</v>
      </c>
      <c r="C211" s="110">
        <f t="shared" si="1"/>
        <v>5200</v>
      </c>
      <c r="D211" s="111">
        <f t="shared" si="2"/>
        <v>3.986666667</v>
      </c>
    </row>
    <row r="212">
      <c r="B212" s="110">
        <v>209.0</v>
      </c>
      <c r="C212" s="110">
        <f t="shared" si="1"/>
        <v>5225</v>
      </c>
      <c r="D212" s="111">
        <f t="shared" si="2"/>
        <v>4.005833333</v>
      </c>
    </row>
    <row r="213">
      <c r="B213" s="110">
        <v>210.0</v>
      </c>
      <c r="C213" s="110">
        <f t="shared" si="1"/>
        <v>5250</v>
      </c>
      <c r="D213" s="111">
        <f t="shared" si="2"/>
        <v>4.025</v>
      </c>
    </row>
    <row r="214">
      <c r="B214" s="110">
        <v>211.0</v>
      </c>
      <c r="C214" s="110">
        <f t="shared" si="1"/>
        <v>5275</v>
      </c>
      <c r="D214" s="111">
        <f t="shared" si="2"/>
        <v>4.044166667</v>
      </c>
    </row>
    <row r="215">
      <c r="B215" s="110">
        <v>212.0</v>
      </c>
      <c r="C215" s="110">
        <f t="shared" si="1"/>
        <v>5300</v>
      </c>
      <c r="D215" s="111">
        <f t="shared" si="2"/>
        <v>4.063333333</v>
      </c>
    </row>
    <row r="216">
      <c r="B216" s="110">
        <v>213.0</v>
      </c>
      <c r="C216" s="110">
        <f t="shared" si="1"/>
        <v>5325</v>
      </c>
      <c r="D216" s="111">
        <f t="shared" si="2"/>
        <v>4.0825</v>
      </c>
    </row>
    <row r="217">
      <c r="B217" s="110">
        <v>214.0</v>
      </c>
      <c r="C217" s="110">
        <f t="shared" si="1"/>
        <v>5350</v>
      </c>
      <c r="D217" s="111">
        <f t="shared" si="2"/>
        <v>4.101666667</v>
      </c>
    </row>
    <row r="218">
      <c r="B218" s="110">
        <v>215.0</v>
      </c>
      <c r="C218" s="110">
        <f t="shared" si="1"/>
        <v>5375</v>
      </c>
      <c r="D218" s="111">
        <f t="shared" si="2"/>
        <v>4.120833333</v>
      </c>
    </row>
    <row r="219">
      <c r="B219" s="110">
        <v>216.0</v>
      </c>
      <c r="C219" s="110">
        <f t="shared" si="1"/>
        <v>5400</v>
      </c>
      <c r="D219" s="111">
        <f t="shared" si="2"/>
        <v>4.14</v>
      </c>
    </row>
    <row r="220">
      <c r="B220" s="110">
        <v>217.0</v>
      </c>
      <c r="C220" s="110">
        <f t="shared" si="1"/>
        <v>5425</v>
      </c>
      <c r="D220" s="111">
        <f t="shared" si="2"/>
        <v>4.159166667</v>
      </c>
    </row>
    <row r="221">
      <c r="B221" s="110">
        <v>218.0</v>
      </c>
      <c r="C221" s="110">
        <f t="shared" si="1"/>
        <v>5450</v>
      </c>
      <c r="D221" s="111">
        <f t="shared" si="2"/>
        <v>4.178333333</v>
      </c>
    </row>
    <row r="222">
      <c r="B222" s="110">
        <v>219.0</v>
      </c>
      <c r="C222" s="110">
        <f t="shared" si="1"/>
        <v>5475</v>
      </c>
      <c r="D222" s="111">
        <f t="shared" si="2"/>
        <v>4.1975</v>
      </c>
    </row>
    <row r="223">
      <c r="B223" s="110">
        <v>220.0</v>
      </c>
      <c r="C223" s="110">
        <f t="shared" si="1"/>
        <v>5500</v>
      </c>
      <c r="D223" s="111">
        <f t="shared" si="2"/>
        <v>4.216666667</v>
      </c>
    </row>
    <row r="224">
      <c r="B224" s="110">
        <v>221.0</v>
      </c>
      <c r="C224" s="110">
        <f t="shared" si="1"/>
        <v>5525</v>
      </c>
      <c r="D224" s="111">
        <f t="shared" si="2"/>
        <v>4.235833333</v>
      </c>
    </row>
    <row r="225">
      <c r="B225" s="110">
        <v>222.0</v>
      </c>
      <c r="C225" s="110">
        <f t="shared" si="1"/>
        <v>5550</v>
      </c>
      <c r="D225" s="111">
        <f t="shared" si="2"/>
        <v>4.255</v>
      </c>
    </row>
    <row r="226">
      <c r="B226" s="110">
        <v>223.0</v>
      </c>
      <c r="C226" s="110">
        <f t="shared" si="1"/>
        <v>5575</v>
      </c>
      <c r="D226" s="111">
        <f t="shared" si="2"/>
        <v>4.274166667</v>
      </c>
    </row>
    <row r="227">
      <c r="B227" s="110">
        <v>224.0</v>
      </c>
      <c r="C227" s="110">
        <f t="shared" si="1"/>
        <v>5600</v>
      </c>
      <c r="D227" s="111">
        <f t="shared" si="2"/>
        <v>4.293333333</v>
      </c>
    </row>
    <row r="228">
      <c r="B228" s="110">
        <v>225.0</v>
      </c>
      <c r="C228" s="110">
        <f t="shared" si="1"/>
        <v>5625</v>
      </c>
      <c r="D228" s="111">
        <f t="shared" si="2"/>
        <v>4.3125</v>
      </c>
    </row>
    <row r="229">
      <c r="B229" s="110">
        <v>226.0</v>
      </c>
      <c r="C229" s="110">
        <f t="shared" si="1"/>
        <v>5650</v>
      </c>
      <c r="D229" s="111">
        <f t="shared" si="2"/>
        <v>4.331666667</v>
      </c>
    </row>
    <row r="230">
      <c r="B230" s="110">
        <v>227.0</v>
      </c>
      <c r="C230" s="110">
        <f t="shared" si="1"/>
        <v>5675</v>
      </c>
      <c r="D230" s="111">
        <f t="shared" si="2"/>
        <v>4.350833333</v>
      </c>
    </row>
    <row r="231">
      <c r="B231" s="110">
        <v>228.0</v>
      </c>
      <c r="C231" s="110">
        <f t="shared" si="1"/>
        <v>5700</v>
      </c>
      <c r="D231" s="111">
        <f t="shared" si="2"/>
        <v>4.37</v>
      </c>
    </row>
    <row r="232">
      <c r="B232" s="110">
        <v>229.0</v>
      </c>
      <c r="C232" s="110">
        <f t="shared" si="1"/>
        <v>5725</v>
      </c>
      <c r="D232" s="111">
        <f t="shared" si="2"/>
        <v>4.389166667</v>
      </c>
    </row>
    <row r="233">
      <c r="B233" s="110">
        <v>230.0</v>
      </c>
      <c r="C233" s="110">
        <f t="shared" si="1"/>
        <v>5750</v>
      </c>
      <c r="D233" s="111">
        <f t="shared" si="2"/>
        <v>4.408333333</v>
      </c>
    </row>
    <row r="234">
      <c r="B234" s="110">
        <v>231.0</v>
      </c>
      <c r="C234" s="110">
        <f t="shared" si="1"/>
        <v>5775</v>
      </c>
      <c r="D234" s="111">
        <f t="shared" si="2"/>
        <v>4.4275</v>
      </c>
    </row>
    <row r="235">
      <c r="B235" s="110">
        <v>232.0</v>
      </c>
      <c r="C235" s="110">
        <f t="shared" si="1"/>
        <v>5800</v>
      </c>
      <c r="D235" s="111">
        <f t="shared" si="2"/>
        <v>4.446666667</v>
      </c>
    </row>
    <row r="236">
      <c r="B236" s="110">
        <v>233.0</v>
      </c>
      <c r="C236" s="110">
        <f t="shared" si="1"/>
        <v>5825</v>
      </c>
      <c r="D236" s="111">
        <f t="shared" si="2"/>
        <v>4.465833333</v>
      </c>
    </row>
    <row r="237">
      <c r="B237" s="110">
        <v>234.0</v>
      </c>
      <c r="C237" s="110">
        <f t="shared" si="1"/>
        <v>5850</v>
      </c>
      <c r="D237" s="111">
        <f t="shared" si="2"/>
        <v>4.485</v>
      </c>
    </row>
    <row r="238">
      <c r="B238" s="110">
        <v>235.0</v>
      </c>
      <c r="C238" s="110">
        <f t="shared" si="1"/>
        <v>5875</v>
      </c>
      <c r="D238" s="111">
        <f t="shared" si="2"/>
        <v>4.504166667</v>
      </c>
    </row>
    <row r="239">
      <c r="B239" s="110">
        <v>236.0</v>
      </c>
      <c r="C239" s="110">
        <f t="shared" si="1"/>
        <v>5900</v>
      </c>
      <c r="D239" s="111">
        <f t="shared" si="2"/>
        <v>4.523333333</v>
      </c>
    </row>
    <row r="240">
      <c r="B240" s="110">
        <v>237.0</v>
      </c>
      <c r="C240" s="110">
        <f t="shared" si="1"/>
        <v>5925</v>
      </c>
      <c r="D240" s="111">
        <f t="shared" si="2"/>
        <v>4.5425</v>
      </c>
    </row>
    <row r="241">
      <c r="B241" s="110">
        <v>238.0</v>
      </c>
      <c r="C241" s="110">
        <f t="shared" si="1"/>
        <v>5950</v>
      </c>
      <c r="D241" s="111">
        <f t="shared" si="2"/>
        <v>4.561666667</v>
      </c>
    </row>
    <row r="242">
      <c r="B242" s="110">
        <v>239.0</v>
      </c>
      <c r="C242" s="110">
        <f t="shared" si="1"/>
        <v>5975</v>
      </c>
      <c r="D242" s="111">
        <f t="shared" si="2"/>
        <v>4.580833333</v>
      </c>
    </row>
    <row r="243">
      <c r="B243" s="110">
        <v>240.0</v>
      </c>
      <c r="C243" s="110">
        <f t="shared" si="1"/>
        <v>6000</v>
      </c>
      <c r="D243" s="111">
        <f t="shared" si="2"/>
        <v>4.6</v>
      </c>
    </row>
    <row r="244">
      <c r="B244" s="110">
        <v>241.0</v>
      </c>
      <c r="C244" s="110">
        <f t="shared" si="1"/>
        <v>6025</v>
      </c>
      <c r="D244" s="111">
        <f t="shared" si="2"/>
        <v>4.619166667</v>
      </c>
    </row>
    <row r="245">
      <c r="B245" s="110">
        <v>242.0</v>
      </c>
      <c r="C245" s="110">
        <f t="shared" si="1"/>
        <v>6050</v>
      </c>
      <c r="D245" s="111">
        <f t="shared" si="2"/>
        <v>4.638333333</v>
      </c>
    </row>
    <row r="246">
      <c r="B246" s="110">
        <v>243.0</v>
      </c>
      <c r="C246" s="110">
        <f t="shared" si="1"/>
        <v>6075</v>
      </c>
      <c r="D246" s="111">
        <f t="shared" si="2"/>
        <v>4.6575</v>
      </c>
    </row>
    <row r="247">
      <c r="B247" s="110">
        <v>244.0</v>
      </c>
      <c r="C247" s="110">
        <f t="shared" si="1"/>
        <v>6100</v>
      </c>
      <c r="D247" s="111">
        <f t="shared" si="2"/>
        <v>4.676666667</v>
      </c>
    </row>
    <row r="248">
      <c r="B248" s="110">
        <v>245.0</v>
      </c>
      <c r="C248" s="110">
        <f t="shared" si="1"/>
        <v>6125</v>
      </c>
      <c r="D248" s="111">
        <f t="shared" si="2"/>
        <v>4.695833333</v>
      </c>
    </row>
    <row r="249">
      <c r="B249" s="110">
        <v>246.0</v>
      </c>
      <c r="C249" s="110">
        <f t="shared" si="1"/>
        <v>6150</v>
      </c>
      <c r="D249" s="111">
        <f t="shared" si="2"/>
        <v>4.715</v>
      </c>
    </row>
    <row r="250">
      <c r="B250" s="110">
        <v>247.0</v>
      </c>
      <c r="C250" s="110">
        <f t="shared" si="1"/>
        <v>6175</v>
      </c>
      <c r="D250" s="111">
        <f t="shared" si="2"/>
        <v>4.734166667</v>
      </c>
    </row>
    <row r="251">
      <c r="B251" s="110">
        <v>248.0</v>
      </c>
      <c r="C251" s="110">
        <f t="shared" si="1"/>
        <v>6200</v>
      </c>
      <c r="D251" s="111">
        <f t="shared" si="2"/>
        <v>4.753333333</v>
      </c>
    </row>
    <row r="252">
      <c r="B252" s="110">
        <v>249.0</v>
      </c>
      <c r="C252" s="110">
        <f t="shared" si="1"/>
        <v>6225</v>
      </c>
      <c r="D252" s="111">
        <f t="shared" si="2"/>
        <v>4.7725</v>
      </c>
    </row>
    <row r="253">
      <c r="B253" s="110">
        <v>250.0</v>
      </c>
      <c r="C253" s="110">
        <f t="shared" si="1"/>
        <v>6250</v>
      </c>
      <c r="D253" s="111">
        <f t="shared" si="2"/>
        <v>4.791666667</v>
      </c>
    </row>
    <row r="254">
      <c r="B254" s="110">
        <v>251.0</v>
      </c>
      <c r="C254" s="110">
        <f t="shared" si="1"/>
        <v>6275</v>
      </c>
      <c r="D254" s="111">
        <f t="shared" si="2"/>
        <v>4.810833333</v>
      </c>
    </row>
    <row r="255">
      <c r="B255" s="110">
        <v>252.0</v>
      </c>
      <c r="C255" s="110">
        <f t="shared" si="1"/>
        <v>6300</v>
      </c>
      <c r="D255" s="111">
        <f t="shared" si="2"/>
        <v>4.83</v>
      </c>
    </row>
    <row r="256">
      <c r="B256" s="110">
        <v>253.0</v>
      </c>
      <c r="C256" s="110">
        <f t="shared" si="1"/>
        <v>6325</v>
      </c>
      <c r="D256" s="111">
        <f t="shared" si="2"/>
        <v>4.849166667</v>
      </c>
    </row>
    <row r="257">
      <c r="B257" s="110">
        <v>254.0</v>
      </c>
      <c r="C257" s="110">
        <f t="shared" si="1"/>
        <v>6350</v>
      </c>
      <c r="D257" s="111">
        <f t="shared" si="2"/>
        <v>4.868333333</v>
      </c>
    </row>
    <row r="258">
      <c r="B258" s="110">
        <v>255.0</v>
      </c>
      <c r="C258" s="110">
        <f t="shared" si="1"/>
        <v>6375</v>
      </c>
      <c r="D258" s="111">
        <f t="shared" si="2"/>
        <v>4.8875</v>
      </c>
    </row>
    <row r="259">
      <c r="B259" s="110">
        <v>256.0</v>
      </c>
      <c r="C259" s="110">
        <f t="shared" si="1"/>
        <v>6400</v>
      </c>
      <c r="D259" s="111">
        <f t="shared" si="2"/>
        <v>4.906666667</v>
      </c>
    </row>
    <row r="260">
      <c r="B260" s="110">
        <v>257.0</v>
      </c>
      <c r="C260" s="110">
        <f t="shared" si="1"/>
        <v>6425</v>
      </c>
      <c r="D260" s="111">
        <f t="shared" si="2"/>
        <v>4.925833333</v>
      </c>
    </row>
    <row r="261">
      <c r="B261" s="110">
        <v>258.0</v>
      </c>
      <c r="C261" s="110">
        <f t="shared" si="1"/>
        <v>6450</v>
      </c>
      <c r="D261" s="111">
        <f t="shared" si="2"/>
        <v>4.945</v>
      </c>
    </row>
    <row r="262">
      <c r="B262" s="110">
        <v>259.0</v>
      </c>
      <c r="C262" s="110">
        <f t="shared" si="1"/>
        <v>6475</v>
      </c>
      <c r="D262" s="111">
        <f t="shared" si="2"/>
        <v>4.964166667</v>
      </c>
    </row>
    <row r="263">
      <c r="B263" s="110">
        <v>260.0</v>
      </c>
      <c r="C263" s="110">
        <f t="shared" si="1"/>
        <v>6500</v>
      </c>
      <c r="D263" s="111">
        <f t="shared" si="2"/>
        <v>4.983333333</v>
      </c>
    </row>
    <row r="264">
      <c r="B264" s="110">
        <v>261.0</v>
      </c>
      <c r="C264" s="110">
        <f t="shared" si="1"/>
        <v>6525</v>
      </c>
      <c r="D264" s="111">
        <f t="shared" si="2"/>
        <v>5.0025</v>
      </c>
    </row>
    <row r="265">
      <c r="B265" s="110">
        <v>262.0</v>
      </c>
      <c r="C265" s="110">
        <f t="shared" si="1"/>
        <v>6550</v>
      </c>
      <c r="D265" s="111">
        <f t="shared" si="2"/>
        <v>5.021666667</v>
      </c>
    </row>
    <row r="266">
      <c r="B266" s="110">
        <v>263.0</v>
      </c>
      <c r="C266" s="110">
        <f t="shared" si="1"/>
        <v>6575</v>
      </c>
      <c r="D266" s="111">
        <f t="shared" si="2"/>
        <v>5.040833333</v>
      </c>
    </row>
    <row r="267">
      <c r="B267" s="110">
        <v>264.0</v>
      </c>
      <c r="C267" s="110">
        <f t="shared" si="1"/>
        <v>6600</v>
      </c>
      <c r="D267" s="111">
        <f t="shared" si="2"/>
        <v>5.06</v>
      </c>
    </row>
    <row r="268">
      <c r="B268" s="110">
        <v>265.0</v>
      </c>
      <c r="C268" s="110">
        <f t="shared" si="1"/>
        <v>6625</v>
      </c>
      <c r="D268" s="111">
        <f t="shared" si="2"/>
        <v>5.079166667</v>
      </c>
    </row>
    <row r="269">
      <c r="B269" s="110">
        <v>266.0</v>
      </c>
      <c r="C269" s="110">
        <f t="shared" si="1"/>
        <v>6650</v>
      </c>
      <c r="D269" s="111">
        <f t="shared" si="2"/>
        <v>5.098333333</v>
      </c>
    </row>
    <row r="270">
      <c r="B270" s="110">
        <v>267.0</v>
      </c>
      <c r="C270" s="110">
        <f t="shared" si="1"/>
        <v>6675</v>
      </c>
      <c r="D270" s="111">
        <f t="shared" si="2"/>
        <v>5.1175</v>
      </c>
    </row>
    <row r="271">
      <c r="B271" s="110">
        <v>268.0</v>
      </c>
      <c r="C271" s="110">
        <f t="shared" si="1"/>
        <v>6700</v>
      </c>
      <c r="D271" s="111">
        <f t="shared" si="2"/>
        <v>5.136666667</v>
      </c>
    </row>
    <row r="272">
      <c r="B272" s="110">
        <v>269.0</v>
      </c>
      <c r="C272" s="110">
        <f t="shared" si="1"/>
        <v>6725</v>
      </c>
      <c r="D272" s="111">
        <f t="shared" si="2"/>
        <v>5.155833333</v>
      </c>
    </row>
    <row r="273">
      <c r="B273" s="110">
        <v>270.0</v>
      </c>
      <c r="C273" s="110">
        <f t="shared" si="1"/>
        <v>6750</v>
      </c>
      <c r="D273" s="111">
        <f t="shared" si="2"/>
        <v>5.175</v>
      </c>
    </row>
    <row r="274">
      <c r="B274" s="110">
        <v>271.0</v>
      </c>
      <c r="C274" s="110">
        <f t="shared" si="1"/>
        <v>6775</v>
      </c>
      <c r="D274" s="111">
        <f t="shared" si="2"/>
        <v>5.194166667</v>
      </c>
    </row>
    <row r="275">
      <c r="B275" s="110">
        <v>272.0</v>
      </c>
      <c r="C275" s="110">
        <f t="shared" si="1"/>
        <v>6800</v>
      </c>
      <c r="D275" s="111">
        <f t="shared" si="2"/>
        <v>5.213333333</v>
      </c>
    </row>
    <row r="276">
      <c r="B276" s="110">
        <v>273.0</v>
      </c>
      <c r="C276" s="110">
        <f t="shared" si="1"/>
        <v>6825</v>
      </c>
      <c r="D276" s="111">
        <f t="shared" si="2"/>
        <v>5.2325</v>
      </c>
    </row>
    <row r="277">
      <c r="B277" s="110">
        <v>274.0</v>
      </c>
      <c r="C277" s="110">
        <f t="shared" si="1"/>
        <v>6850</v>
      </c>
      <c r="D277" s="111">
        <f t="shared" si="2"/>
        <v>5.251666667</v>
      </c>
    </row>
    <row r="278">
      <c r="B278" s="110">
        <v>275.0</v>
      </c>
      <c r="C278" s="110">
        <f t="shared" si="1"/>
        <v>6875</v>
      </c>
      <c r="D278" s="111">
        <f t="shared" si="2"/>
        <v>5.270833333</v>
      </c>
    </row>
    <row r="279">
      <c r="B279" s="110">
        <v>276.0</v>
      </c>
      <c r="C279" s="110">
        <f t="shared" si="1"/>
        <v>6900</v>
      </c>
      <c r="D279" s="111">
        <f t="shared" si="2"/>
        <v>5.29</v>
      </c>
    </row>
    <row r="280">
      <c r="B280" s="110">
        <v>277.0</v>
      </c>
      <c r="C280" s="110">
        <f t="shared" si="1"/>
        <v>6925</v>
      </c>
      <c r="D280" s="111">
        <f t="shared" si="2"/>
        <v>5.309166667</v>
      </c>
    </row>
    <row r="281">
      <c r="B281" s="110">
        <v>278.0</v>
      </c>
      <c r="C281" s="110">
        <f t="shared" si="1"/>
        <v>6950</v>
      </c>
      <c r="D281" s="111">
        <f t="shared" si="2"/>
        <v>5.328333333</v>
      </c>
    </row>
    <row r="282">
      <c r="B282" s="110">
        <v>279.0</v>
      </c>
      <c r="C282" s="110">
        <f t="shared" si="1"/>
        <v>6975</v>
      </c>
      <c r="D282" s="111">
        <f t="shared" si="2"/>
        <v>5.3475</v>
      </c>
    </row>
    <row r="283">
      <c r="B283" s="110">
        <v>280.0</v>
      </c>
      <c r="C283" s="110">
        <f t="shared" si="1"/>
        <v>7000</v>
      </c>
      <c r="D283" s="111">
        <f t="shared" si="2"/>
        <v>5.366666667</v>
      </c>
    </row>
    <row r="284">
      <c r="B284" s="110">
        <v>281.0</v>
      </c>
      <c r="C284" s="110">
        <f t="shared" si="1"/>
        <v>7025</v>
      </c>
      <c r="D284" s="111">
        <f t="shared" si="2"/>
        <v>5.385833333</v>
      </c>
    </row>
    <row r="285">
      <c r="B285" s="110">
        <v>282.0</v>
      </c>
      <c r="C285" s="110">
        <f t="shared" si="1"/>
        <v>7050</v>
      </c>
      <c r="D285" s="111">
        <f t="shared" si="2"/>
        <v>5.405</v>
      </c>
    </row>
    <row r="286">
      <c r="B286" s="110">
        <v>283.0</v>
      </c>
      <c r="C286" s="110">
        <f t="shared" si="1"/>
        <v>7075</v>
      </c>
      <c r="D286" s="111">
        <f t="shared" si="2"/>
        <v>5.424166667</v>
      </c>
    </row>
    <row r="287">
      <c r="B287" s="110">
        <v>284.0</v>
      </c>
      <c r="C287" s="110">
        <f t="shared" si="1"/>
        <v>7100</v>
      </c>
      <c r="D287" s="111">
        <f t="shared" si="2"/>
        <v>5.443333333</v>
      </c>
    </row>
    <row r="288">
      <c r="B288" s="110">
        <v>285.0</v>
      </c>
      <c r="C288" s="110">
        <f t="shared" si="1"/>
        <v>7125</v>
      </c>
      <c r="D288" s="111">
        <f t="shared" si="2"/>
        <v>5.4625</v>
      </c>
    </row>
    <row r="289">
      <c r="B289" s="110">
        <v>286.0</v>
      </c>
      <c r="C289" s="110">
        <f t="shared" si="1"/>
        <v>7150</v>
      </c>
      <c r="D289" s="111">
        <f t="shared" si="2"/>
        <v>5.481666667</v>
      </c>
    </row>
    <row r="290">
      <c r="B290" s="110">
        <v>287.0</v>
      </c>
      <c r="C290" s="110">
        <f t="shared" si="1"/>
        <v>7175</v>
      </c>
      <c r="D290" s="111">
        <f t="shared" si="2"/>
        <v>5.500833333</v>
      </c>
    </row>
    <row r="291">
      <c r="B291" s="110">
        <v>288.0</v>
      </c>
      <c r="C291" s="110">
        <f t="shared" si="1"/>
        <v>7200</v>
      </c>
      <c r="D291" s="111">
        <f t="shared" si="2"/>
        <v>5.52</v>
      </c>
    </row>
    <row r="292">
      <c r="B292" s="110">
        <v>289.0</v>
      </c>
      <c r="C292" s="110">
        <f t="shared" si="1"/>
        <v>7225</v>
      </c>
      <c r="D292" s="111">
        <f t="shared" si="2"/>
        <v>5.539166667</v>
      </c>
    </row>
    <row r="293">
      <c r="B293" s="110">
        <v>290.0</v>
      </c>
      <c r="C293" s="110">
        <f t="shared" si="1"/>
        <v>7250</v>
      </c>
      <c r="D293" s="111">
        <f t="shared" si="2"/>
        <v>5.558333333</v>
      </c>
    </row>
    <row r="294">
      <c r="B294" s="110">
        <v>291.0</v>
      </c>
      <c r="C294" s="110">
        <f t="shared" si="1"/>
        <v>7275</v>
      </c>
      <c r="D294" s="111">
        <f t="shared" si="2"/>
        <v>5.5775</v>
      </c>
    </row>
    <row r="295">
      <c r="B295" s="110">
        <v>292.0</v>
      </c>
      <c r="C295" s="110">
        <f t="shared" si="1"/>
        <v>7300</v>
      </c>
      <c r="D295" s="111">
        <f t="shared" si="2"/>
        <v>5.596666667</v>
      </c>
    </row>
    <row r="296">
      <c r="B296" s="110">
        <v>293.0</v>
      </c>
      <c r="C296" s="110">
        <f t="shared" si="1"/>
        <v>7325</v>
      </c>
      <c r="D296" s="111">
        <f t="shared" si="2"/>
        <v>5.615833333</v>
      </c>
    </row>
    <row r="297">
      <c r="B297" s="110">
        <v>294.0</v>
      </c>
      <c r="C297" s="110">
        <f t="shared" si="1"/>
        <v>7350</v>
      </c>
      <c r="D297" s="111">
        <f t="shared" si="2"/>
        <v>5.635</v>
      </c>
    </row>
    <row r="298">
      <c r="B298" s="110">
        <v>295.0</v>
      </c>
      <c r="C298" s="110">
        <f t="shared" si="1"/>
        <v>7375</v>
      </c>
      <c r="D298" s="111">
        <f t="shared" si="2"/>
        <v>5.654166667</v>
      </c>
    </row>
    <row r="299">
      <c r="B299" s="110">
        <v>296.0</v>
      </c>
      <c r="C299" s="110">
        <f t="shared" si="1"/>
        <v>7400</v>
      </c>
      <c r="D299" s="111">
        <f t="shared" si="2"/>
        <v>5.673333333</v>
      </c>
    </row>
    <row r="300">
      <c r="B300" s="110">
        <v>297.0</v>
      </c>
      <c r="C300" s="110">
        <f t="shared" si="1"/>
        <v>7425</v>
      </c>
      <c r="D300" s="111">
        <f t="shared" si="2"/>
        <v>5.6925</v>
      </c>
    </row>
    <row r="301">
      <c r="B301" s="110">
        <v>298.0</v>
      </c>
      <c r="C301" s="110">
        <f t="shared" si="1"/>
        <v>7450</v>
      </c>
      <c r="D301" s="111">
        <f t="shared" si="2"/>
        <v>5.711666667</v>
      </c>
    </row>
    <row r="302">
      <c r="B302" s="110">
        <v>299.0</v>
      </c>
      <c r="C302" s="110">
        <f t="shared" si="1"/>
        <v>7475</v>
      </c>
      <c r="D302" s="111">
        <f t="shared" si="2"/>
        <v>5.730833333</v>
      </c>
    </row>
    <row r="303">
      <c r="B303" s="110">
        <v>300.0</v>
      </c>
      <c r="C303" s="110">
        <f t="shared" si="1"/>
        <v>7500</v>
      </c>
      <c r="D303" s="111">
        <f t="shared" si="2"/>
        <v>5.75</v>
      </c>
    </row>
    <row r="304">
      <c r="B304" s="110">
        <v>301.0</v>
      </c>
      <c r="C304" s="110">
        <f t="shared" si="1"/>
        <v>7525</v>
      </c>
      <c r="D304" s="111">
        <f t="shared" si="2"/>
        <v>5.769166667</v>
      </c>
    </row>
    <row r="305">
      <c r="B305" s="110">
        <v>302.0</v>
      </c>
      <c r="C305" s="110">
        <f t="shared" si="1"/>
        <v>7550</v>
      </c>
      <c r="D305" s="111">
        <f t="shared" si="2"/>
        <v>5.788333333</v>
      </c>
    </row>
    <row r="306">
      <c r="B306" s="110">
        <v>303.0</v>
      </c>
      <c r="C306" s="110">
        <f t="shared" si="1"/>
        <v>7575</v>
      </c>
      <c r="D306" s="111">
        <f t="shared" si="2"/>
        <v>5.8075</v>
      </c>
    </row>
    <row r="307">
      <c r="B307" s="110">
        <v>304.0</v>
      </c>
      <c r="C307" s="110">
        <f t="shared" si="1"/>
        <v>7600</v>
      </c>
      <c r="D307" s="111">
        <f t="shared" si="2"/>
        <v>5.826666667</v>
      </c>
    </row>
    <row r="308">
      <c r="B308" s="110">
        <v>305.0</v>
      </c>
      <c r="C308" s="110">
        <f t="shared" si="1"/>
        <v>7625</v>
      </c>
      <c r="D308" s="111">
        <f t="shared" si="2"/>
        <v>5.845833333</v>
      </c>
    </row>
    <row r="309">
      <c r="B309" s="110">
        <v>306.0</v>
      </c>
      <c r="C309" s="110">
        <f t="shared" si="1"/>
        <v>7650</v>
      </c>
      <c r="D309" s="111">
        <f t="shared" si="2"/>
        <v>5.865</v>
      </c>
    </row>
    <row r="310">
      <c r="B310" s="110">
        <v>307.0</v>
      </c>
      <c r="C310" s="110">
        <f t="shared" si="1"/>
        <v>7675</v>
      </c>
      <c r="D310" s="111">
        <f t="shared" si="2"/>
        <v>5.884166667</v>
      </c>
    </row>
    <row r="311">
      <c r="B311" s="110">
        <v>308.0</v>
      </c>
      <c r="C311" s="110">
        <f t="shared" si="1"/>
        <v>7700</v>
      </c>
      <c r="D311" s="111">
        <f t="shared" si="2"/>
        <v>5.903333333</v>
      </c>
    </row>
    <row r="312">
      <c r="B312" s="110">
        <v>309.0</v>
      </c>
      <c r="C312" s="110">
        <f t="shared" si="1"/>
        <v>7725</v>
      </c>
      <c r="D312" s="111">
        <f t="shared" si="2"/>
        <v>5.9225</v>
      </c>
    </row>
    <row r="313">
      <c r="B313" s="110">
        <v>310.0</v>
      </c>
      <c r="C313" s="110">
        <f t="shared" si="1"/>
        <v>7750</v>
      </c>
      <c r="D313" s="111">
        <f t="shared" si="2"/>
        <v>5.941666667</v>
      </c>
    </row>
    <row r="314">
      <c r="B314" s="110">
        <v>311.0</v>
      </c>
      <c r="C314" s="110">
        <f t="shared" si="1"/>
        <v>7775</v>
      </c>
      <c r="D314" s="111">
        <f t="shared" si="2"/>
        <v>5.960833333</v>
      </c>
    </row>
    <row r="315">
      <c r="B315" s="110">
        <v>312.0</v>
      </c>
      <c r="C315" s="110">
        <f t="shared" si="1"/>
        <v>7800</v>
      </c>
      <c r="D315" s="111">
        <f t="shared" si="2"/>
        <v>5.98</v>
      </c>
    </row>
    <row r="316">
      <c r="B316" s="110">
        <v>313.0</v>
      </c>
      <c r="C316" s="110">
        <f t="shared" si="1"/>
        <v>7825</v>
      </c>
      <c r="D316" s="111">
        <f t="shared" si="2"/>
        <v>5.999166667</v>
      </c>
    </row>
    <row r="317">
      <c r="B317" s="110">
        <v>314.0</v>
      </c>
      <c r="C317" s="110">
        <f t="shared" si="1"/>
        <v>7850</v>
      </c>
      <c r="D317" s="111">
        <f t="shared" si="2"/>
        <v>6.018333333</v>
      </c>
    </row>
    <row r="318">
      <c r="B318" s="110">
        <v>315.0</v>
      </c>
      <c r="C318" s="110">
        <f t="shared" si="1"/>
        <v>7875</v>
      </c>
      <c r="D318" s="111">
        <f t="shared" si="2"/>
        <v>6.0375</v>
      </c>
    </row>
    <row r="319">
      <c r="B319" s="110">
        <v>316.0</v>
      </c>
      <c r="C319" s="110">
        <f t="shared" si="1"/>
        <v>7900</v>
      </c>
      <c r="D319" s="111">
        <f t="shared" si="2"/>
        <v>6.056666667</v>
      </c>
    </row>
    <row r="320">
      <c r="B320" s="110">
        <v>317.0</v>
      </c>
      <c r="C320" s="110">
        <f t="shared" si="1"/>
        <v>7925</v>
      </c>
      <c r="D320" s="111">
        <f t="shared" si="2"/>
        <v>6.075833333</v>
      </c>
    </row>
    <row r="321">
      <c r="B321" s="110">
        <v>318.0</v>
      </c>
      <c r="C321" s="110">
        <f t="shared" si="1"/>
        <v>7950</v>
      </c>
      <c r="D321" s="111">
        <f t="shared" si="2"/>
        <v>6.095</v>
      </c>
    </row>
    <row r="322">
      <c r="B322" s="110">
        <v>319.0</v>
      </c>
      <c r="C322" s="110">
        <f t="shared" si="1"/>
        <v>7975</v>
      </c>
      <c r="D322" s="111">
        <f t="shared" si="2"/>
        <v>6.114166667</v>
      </c>
    </row>
    <row r="323">
      <c r="B323" s="110">
        <v>320.0</v>
      </c>
      <c r="C323" s="110">
        <f t="shared" si="1"/>
        <v>8000</v>
      </c>
      <c r="D323" s="111">
        <f t="shared" si="2"/>
        <v>6.133333333</v>
      </c>
    </row>
    <row r="324">
      <c r="B324" s="110">
        <v>321.0</v>
      </c>
      <c r="C324" s="110">
        <f t="shared" si="1"/>
        <v>8025</v>
      </c>
      <c r="D324" s="111">
        <f t="shared" si="2"/>
        <v>6.1525</v>
      </c>
    </row>
    <row r="325">
      <c r="B325" s="110">
        <v>322.0</v>
      </c>
      <c r="C325" s="110">
        <f t="shared" si="1"/>
        <v>8050</v>
      </c>
      <c r="D325" s="111">
        <f t="shared" si="2"/>
        <v>6.171666667</v>
      </c>
    </row>
    <row r="326">
      <c r="B326" s="110">
        <v>323.0</v>
      </c>
      <c r="C326" s="110">
        <f t="shared" si="1"/>
        <v>8075</v>
      </c>
      <c r="D326" s="111">
        <f t="shared" si="2"/>
        <v>6.190833333</v>
      </c>
    </row>
    <row r="327">
      <c r="B327" s="110">
        <v>324.0</v>
      </c>
      <c r="C327" s="110">
        <f t="shared" si="1"/>
        <v>8100</v>
      </c>
      <c r="D327" s="111">
        <f t="shared" si="2"/>
        <v>6.21</v>
      </c>
    </row>
    <row r="328">
      <c r="B328" s="110">
        <v>325.0</v>
      </c>
      <c r="C328" s="110">
        <f t="shared" si="1"/>
        <v>8125</v>
      </c>
      <c r="D328" s="111">
        <f t="shared" si="2"/>
        <v>6.229166667</v>
      </c>
    </row>
    <row r="329">
      <c r="B329" s="110">
        <v>326.0</v>
      </c>
      <c r="C329" s="110">
        <f t="shared" si="1"/>
        <v>8150</v>
      </c>
      <c r="D329" s="111">
        <f t="shared" si="2"/>
        <v>6.248333333</v>
      </c>
    </row>
    <row r="330">
      <c r="B330" s="110">
        <v>327.0</v>
      </c>
      <c r="C330" s="110">
        <f t="shared" si="1"/>
        <v>8175</v>
      </c>
      <c r="D330" s="111">
        <f t="shared" si="2"/>
        <v>6.2675</v>
      </c>
    </row>
    <row r="331">
      <c r="B331" s="110">
        <v>328.0</v>
      </c>
      <c r="C331" s="110">
        <f t="shared" si="1"/>
        <v>8200</v>
      </c>
      <c r="D331" s="111">
        <f t="shared" si="2"/>
        <v>6.286666667</v>
      </c>
    </row>
    <row r="332">
      <c r="B332" s="110">
        <v>329.0</v>
      </c>
      <c r="C332" s="110">
        <f t="shared" si="1"/>
        <v>8225</v>
      </c>
      <c r="D332" s="111">
        <f t="shared" si="2"/>
        <v>6.305833333</v>
      </c>
    </row>
    <row r="333">
      <c r="B333" s="110">
        <v>330.0</v>
      </c>
      <c r="C333" s="110">
        <f t="shared" si="1"/>
        <v>8250</v>
      </c>
      <c r="D333" s="111">
        <f t="shared" si="2"/>
        <v>6.325</v>
      </c>
    </row>
    <row r="334">
      <c r="B334" s="110">
        <v>331.0</v>
      </c>
      <c r="C334" s="110">
        <f t="shared" si="1"/>
        <v>8275</v>
      </c>
      <c r="D334" s="111">
        <f t="shared" si="2"/>
        <v>6.344166667</v>
      </c>
    </row>
    <row r="335">
      <c r="B335" s="110">
        <v>332.0</v>
      </c>
      <c r="C335" s="110">
        <f t="shared" si="1"/>
        <v>8300</v>
      </c>
      <c r="D335" s="111">
        <f t="shared" si="2"/>
        <v>6.363333333</v>
      </c>
    </row>
    <row r="336">
      <c r="B336" s="110">
        <v>333.0</v>
      </c>
      <c r="C336" s="110">
        <f t="shared" si="1"/>
        <v>8325</v>
      </c>
      <c r="D336" s="111">
        <f t="shared" si="2"/>
        <v>6.3825</v>
      </c>
    </row>
    <row r="337">
      <c r="B337" s="110">
        <v>334.0</v>
      </c>
      <c r="C337" s="110">
        <f t="shared" si="1"/>
        <v>8350</v>
      </c>
      <c r="D337" s="111">
        <f t="shared" si="2"/>
        <v>6.401666667</v>
      </c>
    </row>
    <row r="338">
      <c r="B338" s="110">
        <v>335.0</v>
      </c>
      <c r="C338" s="110">
        <f t="shared" si="1"/>
        <v>8375</v>
      </c>
      <c r="D338" s="111">
        <f t="shared" si="2"/>
        <v>6.420833333</v>
      </c>
    </row>
    <row r="339">
      <c r="B339" s="110">
        <v>336.0</v>
      </c>
      <c r="C339" s="110">
        <f t="shared" si="1"/>
        <v>8400</v>
      </c>
      <c r="D339" s="111">
        <f t="shared" si="2"/>
        <v>6.44</v>
      </c>
    </row>
    <row r="340">
      <c r="B340" s="110">
        <v>337.0</v>
      </c>
      <c r="C340" s="110">
        <f t="shared" si="1"/>
        <v>8425</v>
      </c>
      <c r="D340" s="111">
        <f t="shared" si="2"/>
        <v>6.459166667</v>
      </c>
    </row>
    <row r="341">
      <c r="B341" s="110">
        <v>338.0</v>
      </c>
      <c r="C341" s="110">
        <f t="shared" si="1"/>
        <v>8450</v>
      </c>
      <c r="D341" s="111">
        <f t="shared" si="2"/>
        <v>6.478333333</v>
      </c>
    </row>
    <row r="342">
      <c r="B342" s="110">
        <v>339.0</v>
      </c>
      <c r="C342" s="110">
        <f t="shared" si="1"/>
        <v>8475</v>
      </c>
      <c r="D342" s="111">
        <f t="shared" si="2"/>
        <v>6.4975</v>
      </c>
    </row>
    <row r="343">
      <c r="B343" s="110">
        <v>340.0</v>
      </c>
      <c r="C343" s="110">
        <f t="shared" si="1"/>
        <v>8500</v>
      </c>
      <c r="D343" s="111">
        <f t="shared" si="2"/>
        <v>6.516666667</v>
      </c>
    </row>
    <row r="344">
      <c r="B344" s="110">
        <v>341.0</v>
      </c>
      <c r="C344" s="110">
        <f t="shared" si="1"/>
        <v>8525</v>
      </c>
      <c r="D344" s="111">
        <f t="shared" si="2"/>
        <v>6.535833333</v>
      </c>
    </row>
    <row r="345">
      <c r="B345" s="110">
        <v>342.0</v>
      </c>
      <c r="C345" s="110">
        <f t="shared" si="1"/>
        <v>8550</v>
      </c>
      <c r="D345" s="111">
        <f t="shared" si="2"/>
        <v>6.555</v>
      </c>
    </row>
    <row r="346">
      <c r="B346" s="110">
        <v>343.0</v>
      </c>
      <c r="C346" s="110">
        <f t="shared" si="1"/>
        <v>8575</v>
      </c>
      <c r="D346" s="111">
        <f t="shared" si="2"/>
        <v>6.574166667</v>
      </c>
    </row>
    <row r="347">
      <c r="B347" s="110">
        <v>344.0</v>
      </c>
      <c r="C347" s="110">
        <f t="shared" si="1"/>
        <v>8600</v>
      </c>
      <c r="D347" s="111">
        <f t="shared" si="2"/>
        <v>6.593333333</v>
      </c>
    </row>
    <row r="348">
      <c r="B348" s="110">
        <v>345.0</v>
      </c>
      <c r="C348" s="110">
        <f t="shared" si="1"/>
        <v>8625</v>
      </c>
      <c r="D348" s="111">
        <f t="shared" si="2"/>
        <v>6.6125</v>
      </c>
    </row>
    <row r="349">
      <c r="B349" s="110">
        <v>346.0</v>
      </c>
      <c r="C349" s="110">
        <f t="shared" si="1"/>
        <v>8650</v>
      </c>
      <c r="D349" s="111">
        <f t="shared" si="2"/>
        <v>6.631666667</v>
      </c>
    </row>
    <row r="350">
      <c r="B350" s="110">
        <v>347.0</v>
      </c>
      <c r="C350" s="110">
        <f t="shared" si="1"/>
        <v>8675</v>
      </c>
      <c r="D350" s="111">
        <f t="shared" si="2"/>
        <v>6.650833333</v>
      </c>
    </row>
    <row r="351">
      <c r="B351" s="110">
        <v>348.0</v>
      </c>
      <c r="C351" s="110">
        <f t="shared" si="1"/>
        <v>8700</v>
      </c>
      <c r="D351" s="111">
        <f t="shared" si="2"/>
        <v>6.67</v>
      </c>
    </row>
    <row r="352">
      <c r="B352" s="110">
        <v>349.0</v>
      </c>
      <c r="C352" s="110">
        <f t="shared" si="1"/>
        <v>8725</v>
      </c>
      <c r="D352" s="111">
        <f t="shared" si="2"/>
        <v>6.689166667</v>
      </c>
    </row>
    <row r="353">
      <c r="B353" s="110">
        <v>350.0</v>
      </c>
      <c r="C353" s="110">
        <f t="shared" si="1"/>
        <v>8750</v>
      </c>
      <c r="D353" s="111">
        <f t="shared" si="2"/>
        <v>6.708333333</v>
      </c>
    </row>
    <row r="354">
      <c r="B354" s="110">
        <v>351.0</v>
      </c>
      <c r="C354" s="110">
        <f t="shared" si="1"/>
        <v>8775</v>
      </c>
      <c r="D354" s="111">
        <f t="shared" si="2"/>
        <v>6.7275</v>
      </c>
    </row>
    <row r="355">
      <c r="B355" s="110">
        <v>352.0</v>
      </c>
      <c r="C355" s="110">
        <f t="shared" si="1"/>
        <v>8800</v>
      </c>
      <c r="D355" s="111">
        <f t="shared" si="2"/>
        <v>6.746666667</v>
      </c>
    </row>
    <row r="356">
      <c r="B356" s="110">
        <v>353.0</v>
      </c>
      <c r="C356" s="110">
        <f t="shared" si="1"/>
        <v>8825</v>
      </c>
      <c r="D356" s="111">
        <f t="shared" si="2"/>
        <v>6.765833333</v>
      </c>
    </row>
    <row r="357">
      <c r="B357" s="110">
        <v>354.0</v>
      </c>
      <c r="C357" s="110">
        <f t="shared" si="1"/>
        <v>8850</v>
      </c>
      <c r="D357" s="111">
        <f t="shared" si="2"/>
        <v>6.785</v>
      </c>
    </row>
    <row r="358">
      <c r="B358" s="110">
        <v>355.0</v>
      </c>
      <c r="C358" s="110">
        <f t="shared" si="1"/>
        <v>8875</v>
      </c>
      <c r="D358" s="111">
        <f t="shared" si="2"/>
        <v>6.804166667</v>
      </c>
    </row>
    <row r="359">
      <c r="B359" s="110">
        <v>356.0</v>
      </c>
      <c r="C359" s="110">
        <f t="shared" si="1"/>
        <v>8900</v>
      </c>
      <c r="D359" s="111">
        <f t="shared" si="2"/>
        <v>6.823333333</v>
      </c>
    </row>
    <row r="360">
      <c r="B360" s="110">
        <v>357.0</v>
      </c>
      <c r="C360" s="110">
        <f t="shared" si="1"/>
        <v>8925</v>
      </c>
      <c r="D360" s="111">
        <f t="shared" si="2"/>
        <v>6.8425</v>
      </c>
    </row>
    <row r="361">
      <c r="B361" s="110">
        <v>358.0</v>
      </c>
      <c r="C361" s="110">
        <f t="shared" si="1"/>
        <v>8950</v>
      </c>
      <c r="D361" s="111">
        <f t="shared" si="2"/>
        <v>6.861666667</v>
      </c>
    </row>
    <row r="362">
      <c r="B362" s="110">
        <v>359.0</v>
      </c>
      <c r="C362" s="110">
        <f t="shared" si="1"/>
        <v>8975</v>
      </c>
      <c r="D362" s="111">
        <f t="shared" si="2"/>
        <v>6.880833333</v>
      </c>
    </row>
    <row r="363">
      <c r="B363" s="110">
        <v>360.0</v>
      </c>
      <c r="C363" s="110">
        <f t="shared" si="1"/>
        <v>9000</v>
      </c>
      <c r="D363" s="111">
        <f t="shared" si="2"/>
        <v>6.9</v>
      </c>
    </row>
    <row r="364">
      <c r="B364" s="110">
        <v>361.0</v>
      </c>
      <c r="C364" s="110">
        <f t="shared" si="1"/>
        <v>9025</v>
      </c>
      <c r="D364" s="111">
        <f t="shared" si="2"/>
        <v>6.919166667</v>
      </c>
    </row>
    <row r="365">
      <c r="B365" s="110">
        <v>362.0</v>
      </c>
      <c r="C365" s="110">
        <f t="shared" si="1"/>
        <v>9050</v>
      </c>
      <c r="D365" s="111">
        <f t="shared" si="2"/>
        <v>6.938333333</v>
      </c>
    </row>
    <row r="366">
      <c r="B366" s="110">
        <v>363.0</v>
      </c>
      <c r="C366" s="110">
        <f t="shared" si="1"/>
        <v>9075</v>
      </c>
      <c r="D366" s="111">
        <f t="shared" si="2"/>
        <v>6.9575</v>
      </c>
    </row>
    <row r="367">
      <c r="B367" s="110">
        <v>364.0</v>
      </c>
      <c r="C367" s="110">
        <f t="shared" si="1"/>
        <v>9100</v>
      </c>
      <c r="D367" s="111">
        <f t="shared" si="2"/>
        <v>6.976666667</v>
      </c>
    </row>
    <row r="368">
      <c r="B368" s="110">
        <v>365.0</v>
      </c>
      <c r="C368" s="110">
        <f t="shared" si="1"/>
        <v>9125</v>
      </c>
      <c r="D368" s="111">
        <f t="shared" si="2"/>
        <v>6.995833333</v>
      </c>
    </row>
  </sheetData>
  <drawing r:id="rId1"/>
</worksheet>
</file>