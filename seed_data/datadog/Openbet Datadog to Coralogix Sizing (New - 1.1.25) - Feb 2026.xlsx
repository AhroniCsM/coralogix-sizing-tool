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<sst xmlns="http://schemas.openxmlformats.org/spreadsheetml/2006/main" count="111" uniqueCount="85">
  <si>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</si>
  <si>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</si>
  <si>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</si>
  <si>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</si>
  <si>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</si>
  <si>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</si>
  <si>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</si>
  <si>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</si>
  <si>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</si>
  <si>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</si>
  <si>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</si>
  <si>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</si>
  <si>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</si>
  <si>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</si>
  <si>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</si>
  <si>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</si>
  <si>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</si>
  <si>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</si>
  <si>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</si>
  <si>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</si>
  <si>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</si>
  <si>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</si>
  <si>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security analysed logs in Billion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</si>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</sst>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3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7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vertical="bottom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8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6" fillId="0" fontId="3" numFmtId="1" xfId="0" applyAlignment="1" applyBorder="1" applyFont="1" applyNumberFormat="1">
      <alignment vertical="bottom"/>
    </xf>
    <xf borderId="6" fillId="0" fontId="3" numFmtId="1" xfId="0" applyAlignment="1" applyBorder="1" applyFont="1" applyNumberFormat="1">
      <alignment horizontal="right" vertical="bottom"/>
    </xf>
    <xf borderId="8" fillId="0" fontId="3" numFmtId="3" xfId="0" applyAlignment="1" applyBorder="1" applyFont="1" applyNumberFormat="1">
      <alignment horizontal="right" readingOrder="0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11" fillId="0" fontId="2" numFmtId="0" xfId="0" applyBorder="1" applyFont="1"/>
    <xf borderId="12" fillId="0" fontId="2" numFmtId="0" xfId="0" applyBorder="1" applyFont="1"/>
    <xf borderId="13" fillId="4" fontId="1" numFmtId="0" xfId="0" applyAlignment="1" applyBorder="1" applyFill="1" applyFont="1">
      <alignment horizontal="center" vertical="bottom"/>
    </xf>
    <xf borderId="9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9" fillId="0" fontId="3" numFmtId="1" xfId="0" applyAlignment="1" applyBorder="1" applyFont="1" applyNumberFormat="1">
      <alignment vertical="bottom"/>
    </xf>
    <xf borderId="16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4" fillId="0" fontId="1" numFmtId="0" xfId="0" applyAlignment="1" applyBorder="1" applyFont="1">
      <alignment vertical="bottom"/>
    </xf>
    <xf borderId="9" fillId="0" fontId="3" numFmtId="3" xfId="0" applyAlignment="1" applyBorder="1" applyFont="1" applyNumberFormat="1">
      <alignment vertical="bottom"/>
    </xf>
    <xf borderId="9" fillId="0" fontId="3" numFmtId="164" xfId="0" applyAlignment="1" applyBorder="1" applyFont="1" applyNumberFormat="1">
      <alignment vertical="bottom"/>
    </xf>
    <xf borderId="17" fillId="0" fontId="3" numFmtId="0" xfId="0" applyAlignment="1" applyBorder="1" applyFont="1">
      <alignment vertical="bottom"/>
    </xf>
    <xf borderId="14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6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7" fillId="0" fontId="1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7" fillId="5" fontId="1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19" fillId="0" fontId="3" numFmtId="1" xfId="0" applyAlignment="1" applyBorder="1" applyFont="1" applyNumberFormat="1">
      <alignment horizontal="right" vertical="bottom"/>
    </xf>
    <xf borderId="9" fillId="5" fontId="1" numFmtId="1" xfId="0" applyAlignment="1" applyBorder="1" applyFont="1" applyNumberFormat="1">
      <alignment horizontal="right" vertical="bottom"/>
    </xf>
    <xf borderId="14" fillId="5" fontId="1" numFmtId="164" xfId="0" applyAlignment="1" applyBorder="1" applyFont="1" applyNumberFormat="1">
      <alignment vertical="bottom"/>
    </xf>
    <xf borderId="20" fillId="0" fontId="3" numFmtId="0" xfId="0" applyAlignment="1" applyBorder="1" applyFont="1">
      <alignment vertical="bottom"/>
    </xf>
    <xf borderId="21" fillId="0" fontId="3" numFmtId="3" xfId="0" applyAlignment="1" applyBorder="1" applyFont="1" applyNumberFormat="1">
      <alignment horizontal="right" readingOrder="0" vertical="bottom"/>
    </xf>
    <xf borderId="22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3" fillId="0" fontId="3" numFmtId="0" xfId="0" applyAlignment="1" applyBorder="1" applyFont="1">
      <alignment vertical="bottom"/>
    </xf>
    <xf borderId="23" fillId="0" fontId="3" numFmtId="2" xfId="0" applyAlignment="1" applyBorder="1" applyFont="1" applyNumberFormat="1">
      <alignment horizontal="right" vertical="bottom"/>
    </xf>
    <xf borderId="14" fillId="0" fontId="3" numFmtId="164" xfId="0" applyAlignment="1" applyBorder="1" applyFont="1" applyNumberFormat="1">
      <alignment vertical="bottom"/>
    </xf>
    <xf borderId="24" fillId="0" fontId="3" numFmtId="3" xfId="0" applyAlignment="1" applyBorder="1" applyFont="1" applyNumberFormat="1">
      <alignment vertical="bottom"/>
    </xf>
    <xf borderId="25" fillId="0" fontId="2" numFmtId="0" xfId="0" applyBorder="1" applyFont="1"/>
    <xf borderId="26" fillId="0" fontId="2" numFmtId="0" xfId="0" applyBorder="1" applyFont="1"/>
    <xf borderId="0" fillId="0" fontId="3" numFmtId="3" xfId="0" applyAlignment="1" applyFont="1" applyNumberFormat="1">
      <alignment vertical="bottom"/>
    </xf>
    <xf borderId="27" fillId="0" fontId="3" numFmtId="3" xfId="0" applyAlignment="1" applyBorder="1" applyFont="1" applyNumberFormat="1">
      <alignment vertical="bottom"/>
    </xf>
    <xf borderId="28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4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7" fillId="0" fontId="3" numFmtId="164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vertical="bottom"/>
    </xf>
    <xf borderId="30" fillId="0" fontId="3" numFmtId="3" xfId="0" applyAlignment="1" applyBorder="1" applyFont="1" applyNumberFormat="1">
      <alignment horizontal="right" readingOrder="0" vertical="bottom"/>
    </xf>
    <xf borderId="31" fillId="0" fontId="3" numFmtId="1" xfId="0" applyAlignment="1" applyBorder="1" applyFont="1" applyNumberFormat="1">
      <alignment horizontal="right" vertical="bottom"/>
    </xf>
    <xf borderId="1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9" fillId="0" fontId="3" numFmtId="3" xfId="0" applyAlignment="1" applyBorder="1" applyFont="1" applyNumberFormat="1">
      <alignment horizontal="right" vertical="bottom"/>
    </xf>
    <xf borderId="32" fillId="0" fontId="3" numFmtId="0" xfId="0" applyAlignment="1" applyBorder="1" applyFont="1">
      <alignment vertical="bottom"/>
    </xf>
    <xf borderId="32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3" fillId="0" fontId="3" numFmtId="3" xfId="0" applyAlignment="1" applyBorder="1" applyFont="1" applyNumberFormat="1">
      <alignment vertical="bottom"/>
    </xf>
    <xf borderId="34" fillId="0" fontId="3" numFmtId="0" xfId="0" applyAlignment="1" applyBorder="1" applyFont="1">
      <alignment vertical="bottom"/>
    </xf>
    <xf borderId="34" fillId="0" fontId="3" numFmtId="3" xfId="0" applyAlignment="1" applyBorder="1" applyFont="1" applyNumberFormat="1">
      <alignment horizontal="right" vertical="bottom"/>
    </xf>
    <xf borderId="12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7" fillId="5" fontId="3" numFmtId="0" xfId="0" applyAlignment="1" applyBorder="1" applyFont="1">
      <alignment vertical="bottom"/>
    </xf>
    <xf borderId="17" fillId="0" fontId="4" numFmtId="0" xfId="0" applyAlignment="1" applyBorder="1" applyFont="1">
      <alignment shrinkToFit="0" vertical="bottom" wrapText="1"/>
    </xf>
    <xf borderId="14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4" fillId="0" fontId="1" numFmtId="3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23" fillId="0" fontId="3" numFmtId="3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5" fillId="0" fontId="1" numFmtId="0" xfId="0" applyAlignment="1" applyBorder="1" applyFont="1">
      <alignment vertical="bottom"/>
    </xf>
    <xf borderId="17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6" fillId="0" fontId="3" numFmtId="0" xfId="0" applyAlignment="1" applyBorder="1" applyFont="1">
      <alignment vertical="bottom"/>
    </xf>
    <xf borderId="14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6" fillId="0" fontId="3" numFmtId="0" xfId="0" applyAlignment="1" applyBorder="1" applyFont="1">
      <alignment vertical="bottom"/>
    </xf>
    <xf borderId="23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6" fontId="1" numFmtId="1" xfId="0" applyAlignment="1" applyFill="1" applyFont="1" applyNumberFormat="1">
      <alignment vertical="bottom"/>
    </xf>
    <xf borderId="0" fillId="6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25</xdr:row>
      <xdr:rowOff>161925</xdr:rowOff>
    </xdr:from>
    <xdr:ext cx="7829550" cy="36576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43</xdr:row>
      <xdr:rowOff>200025</xdr:rowOff>
    </xdr:from>
    <xdr:ext cx="13515975" cy="41148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19050</xdr:rowOff>
    </xdr:from>
    <xdr:ext cx="7343775" cy="38290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f>3040+75+979</f>
        <v>4094</v>
      </c>
      <c r="B4" s="11">
        <v>74500.0</v>
      </c>
      <c r="C4" s="12"/>
      <c r="D4" s="11">
        <v>3400.0</v>
      </c>
      <c r="E4" s="12"/>
      <c r="F4" s="13">
        <v>2.1348684210526317E7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4" t="s">
        <v>12</v>
      </c>
      <c r="G5" s="4"/>
      <c r="P5" s="4"/>
      <c r="Q5" s="4"/>
      <c r="R5" s="4"/>
      <c r="S5" s="4"/>
      <c r="T5" s="4"/>
    </row>
    <row r="6">
      <c r="A6" s="11">
        <v>31800.0</v>
      </c>
      <c r="B6" s="11">
        <v>213.0</v>
      </c>
      <c r="C6" s="11">
        <v>404000.0</v>
      </c>
      <c r="D6" s="11">
        <f>0.734+10200</f>
        <v>10200.734</v>
      </c>
      <c r="E6" s="15">
        <v>0.0</v>
      </c>
      <c r="F6" s="12"/>
      <c r="G6" s="4"/>
      <c r="P6" s="4"/>
      <c r="Q6" s="4"/>
      <c r="R6" s="4"/>
      <c r="S6" s="4"/>
      <c r="T6" s="4"/>
    </row>
    <row r="7">
      <c r="A7" s="16" t="s">
        <v>13</v>
      </c>
      <c r="B7" s="17" t="s">
        <v>14</v>
      </c>
      <c r="C7" s="14" t="s">
        <v>15</v>
      </c>
      <c r="D7" s="14" t="s">
        <v>16</v>
      </c>
      <c r="E7" s="14" t="s">
        <v>17</v>
      </c>
      <c r="F7" s="18" t="s">
        <v>18</v>
      </c>
      <c r="G7" s="4"/>
      <c r="P7" s="4"/>
      <c r="Q7" s="4"/>
      <c r="R7" s="4"/>
      <c r="S7" s="4"/>
      <c r="T7" s="4"/>
    </row>
    <row r="8">
      <c r="A8" s="19">
        <v>567.0</v>
      </c>
      <c r="B8" s="20">
        <v>14.0</v>
      </c>
      <c r="C8" s="21">
        <v>15430.555555555558</v>
      </c>
      <c r="D8" s="22"/>
      <c r="E8" s="11">
        <v>112.0</v>
      </c>
      <c r="F8" s="23">
        <v>396.0</v>
      </c>
      <c r="G8" s="4"/>
      <c r="P8" s="4"/>
      <c r="Q8" s="4"/>
      <c r="R8" s="4"/>
      <c r="S8" s="4"/>
      <c r="T8" s="4"/>
    </row>
    <row r="9">
      <c r="A9" s="16" t="s">
        <v>19</v>
      </c>
      <c r="B9" s="14" t="s">
        <v>20</v>
      </c>
      <c r="C9" s="14" t="s">
        <v>21</v>
      </c>
      <c r="D9" s="4"/>
      <c r="E9" s="15" t="s">
        <v>22</v>
      </c>
      <c r="F9" s="4"/>
      <c r="G9" s="4"/>
      <c r="P9" s="4"/>
      <c r="Q9" s="4"/>
      <c r="R9" s="4"/>
      <c r="S9" s="4"/>
      <c r="T9" s="4"/>
    </row>
    <row r="10">
      <c r="A10" s="10">
        <v>189000.0</v>
      </c>
      <c r="B10" s="11">
        <v>0.0</v>
      </c>
      <c r="C10" s="12">
        <v>0.0</v>
      </c>
      <c r="D10" s="4"/>
      <c r="E10" s="4">
        <f>18500000000*2/1000/1000</f>
        <v>37000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4"/>
      <c r="B11" s="24"/>
      <c r="C11" s="24"/>
      <c r="D11" s="24"/>
      <c r="E11" s="24"/>
      <c r="F11" s="24"/>
      <c r="G11" s="4"/>
      <c r="H11" s="25" t="s">
        <v>23</v>
      </c>
      <c r="I11" s="26"/>
      <c r="J11" s="27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8" t="s">
        <v>24</v>
      </c>
      <c r="B12" s="29"/>
      <c r="C12" s="29"/>
      <c r="D12" s="29"/>
      <c r="E12" s="29"/>
      <c r="F12" s="30"/>
      <c r="G12" s="4"/>
      <c r="H12" s="31"/>
      <c r="I12" s="32" t="s">
        <v>25</v>
      </c>
      <c r="J12" s="33" t="s">
        <v>26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4"/>
      <c r="B13" s="34"/>
      <c r="C13" s="35"/>
      <c r="D13" s="4"/>
      <c r="E13" s="36"/>
      <c r="F13" s="4"/>
      <c r="G13" s="4"/>
      <c r="H13" s="31" t="s">
        <v>1</v>
      </c>
      <c r="I13" s="11"/>
      <c r="J13" s="37">
        <f t="shared" ref="J13:J19" si="1">(I13/30/24)*1.1</f>
        <v>0</v>
      </c>
      <c r="K13" s="38" t="s">
        <v>27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9" t="s">
        <v>28</v>
      </c>
      <c r="B14" s="40"/>
      <c r="C14" s="41"/>
      <c r="D14" s="42"/>
      <c r="E14" s="43" t="s">
        <v>28</v>
      </c>
      <c r="F14" s="24"/>
      <c r="G14" s="4"/>
      <c r="H14" s="31" t="s">
        <v>15</v>
      </c>
      <c r="I14" s="11">
        <v>1.01E7</v>
      </c>
      <c r="J14" s="37">
        <f t="shared" si="1"/>
        <v>15430.55556</v>
      </c>
      <c r="K14" s="38" t="s">
        <v>29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4" t="s">
        <v>30</v>
      </c>
      <c r="B15" s="12">
        <f>C6+E6</f>
        <v>404000</v>
      </c>
      <c r="C15" s="45" t="s">
        <v>31</v>
      </c>
      <c r="D15" s="42"/>
      <c r="E15" s="46">
        <f>B19/B15</f>
        <v>0.08026405136</v>
      </c>
      <c r="F15" s="47" t="s">
        <v>32</v>
      </c>
      <c r="G15" s="4"/>
      <c r="H15" s="48" t="s">
        <v>16</v>
      </c>
      <c r="I15" s="11"/>
      <c r="J15" s="37">
        <f t="shared" si="1"/>
        <v>0</v>
      </c>
      <c r="K15" s="38" t="s">
        <v>33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4" t="s">
        <v>34</v>
      </c>
      <c r="B16" s="49">
        <v>2.5</v>
      </c>
      <c r="C16" s="45" t="s">
        <v>35</v>
      </c>
      <c r="D16" s="42"/>
      <c r="E16" s="50">
        <f>B15/30</f>
        <v>13466.66667</v>
      </c>
      <c r="F16" s="42" t="s">
        <v>36</v>
      </c>
      <c r="G16" s="4"/>
      <c r="H16" s="31" t="s">
        <v>13</v>
      </c>
      <c r="I16" s="11"/>
      <c r="J16" s="37">
        <f t="shared" si="1"/>
        <v>0</v>
      </c>
      <c r="K16" s="38" t="s">
        <v>37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4" t="s">
        <v>38</v>
      </c>
      <c r="B17" s="12">
        <f>(C4+D4+D6)*1000000</f>
        <v>13600734000</v>
      </c>
      <c r="C17" s="45" t="s">
        <v>39</v>
      </c>
      <c r="D17" s="42"/>
      <c r="E17" s="51">
        <f>E16*0.5</f>
        <v>6733.333333</v>
      </c>
      <c r="F17" s="52" t="s">
        <v>40</v>
      </c>
      <c r="G17" s="4"/>
      <c r="H17" s="48" t="s">
        <v>14</v>
      </c>
      <c r="I17" s="11"/>
      <c r="J17" s="37">
        <f t="shared" si="1"/>
        <v>0</v>
      </c>
      <c r="K17" s="38" t="s">
        <v>41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4" t="s">
        <v>42</v>
      </c>
      <c r="B18" s="12">
        <f>(B17*B16)*1024</f>
        <v>34817879040000</v>
      </c>
      <c r="C18" s="45" t="s">
        <v>43</v>
      </c>
      <c r="D18" s="42"/>
      <c r="E18" s="51">
        <f>E16*0.4</f>
        <v>5386.666667</v>
      </c>
      <c r="F18" s="52" t="s">
        <v>44</v>
      </c>
      <c r="G18" s="4"/>
      <c r="H18" s="53" t="s">
        <v>45</v>
      </c>
      <c r="I18" s="12"/>
      <c r="J18" s="54">
        <f t="shared" si="1"/>
        <v>0</v>
      </c>
      <c r="K18" s="38" t="s">
        <v>46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4" t="s">
        <v>47</v>
      </c>
      <c r="B19" s="49">
        <f>B18/POW(1024,3)</f>
        <v>32426.67675</v>
      </c>
      <c r="C19" s="45" t="s">
        <v>31</v>
      </c>
      <c r="D19" s="42"/>
      <c r="E19" s="55">
        <f>E16*0.1</f>
        <v>1346.666667</v>
      </c>
      <c r="F19" s="56" t="s">
        <v>48</v>
      </c>
      <c r="G19" s="4"/>
      <c r="H19" s="57" t="s">
        <v>49</v>
      </c>
      <c r="I19" s="58"/>
      <c r="J19" s="59">
        <f t="shared" si="1"/>
        <v>0</v>
      </c>
      <c r="K19" s="60" t="s">
        <v>50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61" t="s">
        <v>51</v>
      </c>
      <c r="B20" s="62">
        <f>B19/30</f>
        <v>1080.889225</v>
      </c>
      <c r="C20" s="63" t="s">
        <v>52</v>
      </c>
      <c r="D20" s="4"/>
      <c r="E20" s="36"/>
      <c r="F20" s="34"/>
      <c r="G20" s="4"/>
      <c r="H20" s="64"/>
      <c r="I20" s="65"/>
      <c r="J20" s="66"/>
      <c r="K20" s="34"/>
      <c r="L20" s="4"/>
      <c r="M20" s="4"/>
      <c r="N20" s="4"/>
      <c r="O20" s="4"/>
      <c r="P20" s="4"/>
      <c r="Q20" s="4"/>
      <c r="R20" s="4"/>
      <c r="S20" s="4"/>
      <c r="T20" s="4"/>
    </row>
    <row r="21">
      <c r="A21" s="24"/>
      <c r="B21" s="67"/>
      <c r="C21" s="35"/>
      <c r="D21" s="42"/>
      <c r="E21" s="39" t="s">
        <v>53</v>
      </c>
      <c r="F21" s="24"/>
      <c r="G21" s="4"/>
      <c r="H21" s="68"/>
      <c r="I21" s="69" t="s">
        <v>54</v>
      </c>
      <c r="J21" s="70" t="s">
        <v>55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71" t="s">
        <v>53</v>
      </c>
      <c r="B22" s="40"/>
      <c r="C22" s="41"/>
      <c r="D22" s="42"/>
      <c r="E22" s="72">
        <f>sum(B25:B29)</f>
        <v>21558390.73</v>
      </c>
      <c r="F22" s="73" t="s">
        <v>56</v>
      </c>
      <c r="G22" s="4"/>
      <c r="H22" s="74" t="s">
        <v>18</v>
      </c>
      <c r="I22" s="75">
        <v>0.0</v>
      </c>
      <c r="J22" s="76">
        <f t="shared" ref="J22:J25" si="2">I22/30.4</f>
        <v>0</v>
      </c>
      <c r="K22" s="38" t="s">
        <v>57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4" t="s">
        <v>26</v>
      </c>
      <c r="B23" s="22">
        <f>A4+A8+B8+F6+C10+B10</f>
        <v>4675</v>
      </c>
      <c r="C23" s="45"/>
      <c r="D23" s="42"/>
      <c r="E23" s="50">
        <f>E22/1000</f>
        <v>21558.39073</v>
      </c>
      <c r="F23" s="42" t="s">
        <v>58</v>
      </c>
      <c r="G23" s="4"/>
      <c r="H23" s="77" t="s">
        <v>59</v>
      </c>
      <c r="I23" s="78"/>
      <c r="J23" s="79">
        <f t="shared" si="2"/>
        <v>0</v>
      </c>
      <c r="K23" s="38" t="s">
        <v>60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80" t="s">
        <v>15</v>
      </c>
      <c r="B24" s="81">
        <f>C8+D8</f>
        <v>15430.55556</v>
      </c>
      <c r="C24" s="73"/>
      <c r="D24" s="42"/>
      <c r="E24" s="82">
        <v>3.3E-5</v>
      </c>
      <c r="F24" s="42" t="s">
        <v>61</v>
      </c>
      <c r="G24" s="4"/>
      <c r="H24" s="83" t="s">
        <v>62</v>
      </c>
      <c r="I24" s="11">
        <v>6.49E8</v>
      </c>
      <c r="J24" s="13">
        <f t="shared" si="2"/>
        <v>21348684.21</v>
      </c>
      <c r="K24" s="38" t="s">
        <v>63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4" t="s">
        <v>18</v>
      </c>
      <c r="B25" s="85">
        <f>(F8*0.1)*3</f>
        <v>118.8</v>
      </c>
      <c r="C25" s="86" t="s">
        <v>56</v>
      </c>
      <c r="D25" s="42"/>
      <c r="E25" s="87"/>
      <c r="F25" s="88"/>
      <c r="G25" s="4"/>
      <c r="H25" s="15" t="s">
        <v>17</v>
      </c>
      <c r="I25" s="15"/>
      <c r="J25" s="67">
        <f t="shared" si="2"/>
        <v>0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4" t="s">
        <v>6</v>
      </c>
      <c r="B26" s="12">
        <f>(F4*0.1)*3</f>
        <v>6404605.263</v>
      </c>
      <c r="C26" s="45" t="s">
        <v>56</v>
      </c>
      <c r="D26" s="89" t="s">
        <v>64</v>
      </c>
      <c r="E26" s="55">
        <f>E22*E24</f>
        <v>711.4268941</v>
      </c>
      <c r="F26" s="90" t="s">
        <v>65</v>
      </c>
      <c r="G26" s="4"/>
      <c r="H26" s="4"/>
      <c r="I26" s="3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4" t="s">
        <v>66</v>
      </c>
      <c r="B27" s="12">
        <f>((B24+B23)*750)</f>
        <v>15079166.67</v>
      </c>
      <c r="C27" s="45" t="s">
        <v>56</v>
      </c>
      <c r="D27" s="4"/>
      <c r="E27" s="40"/>
      <c r="F27" s="4"/>
      <c r="G27" s="4"/>
      <c r="H27" s="4"/>
      <c r="I27" s="4"/>
      <c r="J27" s="4"/>
      <c r="K27" s="67"/>
      <c r="L27" s="67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12">
        <f>B4</f>
        <v>74500</v>
      </c>
      <c r="C28" s="45" t="s">
        <v>56</v>
      </c>
      <c r="D28" s="42"/>
      <c r="E28" s="92" t="s">
        <v>67</v>
      </c>
      <c r="F28" s="93"/>
      <c r="G28" s="4"/>
      <c r="H28" s="4"/>
      <c r="I28" s="4"/>
      <c r="J28" s="4"/>
      <c r="K28" s="67"/>
      <c r="L28" s="67"/>
      <c r="M28" s="4"/>
      <c r="N28" s="4"/>
      <c r="O28" s="4"/>
      <c r="P28" s="4"/>
      <c r="Q28" s="4"/>
      <c r="R28" s="4"/>
      <c r="S28" s="4"/>
      <c r="T28" s="4"/>
    </row>
    <row r="29">
      <c r="A29" s="61" t="s">
        <v>68</v>
      </c>
      <c r="B29" s="94"/>
      <c r="C29" s="63" t="s">
        <v>69</v>
      </c>
      <c r="D29" s="42"/>
      <c r="E29" s="46">
        <f>B34/B33</f>
        <v>0.00958173284</v>
      </c>
      <c r="F29" s="95" t="s">
        <v>32</v>
      </c>
      <c r="G29" s="4"/>
      <c r="H29" s="4"/>
      <c r="I29" s="4"/>
      <c r="J29" s="4"/>
      <c r="K29" s="4"/>
      <c r="L29" s="67"/>
      <c r="M29" s="4"/>
      <c r="N29" s="4"/>
      <c r="O29" s="4"/>
      <c r="P29" s="4"/>
      <c r="Q29" s="4"/>
      <c r="R29" s="4"/>
      <c r="S29" s="4"/>
      <c r="T29" s="4"/>
    </row>
    <row r="30">
      <c r="A30" s="24"/>
      <c r="B30" s="96"/>
      <c r="C30" s="35"/>
      <c r="D30" s="42"/>
      <c r="E30" s="72">
        <f>B35</f>
        <v>1060</v>
      </c>
      <c r="F30" s="42" t="s">
        <v>70</v>
      </c>
      <c r="G30" s="4"/>
      <c r="H30" s="4"/>
      <c r="I30" s="4"/>
      <c r="J30" s="4"/>
      <c r="K30" s="67"/>
      <c r="L30" s="67"/>
      <c r="M30" s="4"/>
      <c r="N30" s="4"/>
      <c r="O30" s="4"/>
      <c r="P30" s="4"/>
      <c r="Q30" s="4"/>
      <c r="R30" s="4"/>
      <c r="S30" s="4"/>
      <c r="T30" s="4"/>
    </row>
    <row r="31">
      <c r="A31" s="97" t="s">
        <v>67</v>
      </c>
      <c r="B31" s="40"/>
      <c r="C31" s="41"/>
      <c r="D31" s="42"/>
      <c r="E31" s="72">
        <f>E30*E29</f>
        <v>10.15663681</v>
      </c>
      <c r="F31" s="42" t="s">
        <v>71</v>
      </c>
      <c r="G31" s="4"/>
      <c r="H31" s="4"/>
      <c r="I31" s="4"/>
      <c r="J31" s="4"/>
      <c r="K31" s="67"/>
      <c r="L31" s="67"/>
      <c r="M31" s="4"/>
      <c r="N31" s="4"/>
      <c r="O31" s="4"/>
      <c r="P31" s="4"/>
      <c r="Q31" s="4"/>
      <c r="R31" s="4"/>
      <c r="S31" s="4"/>
      <c r="T31" s="4"/>
    </row>
    <row r="32">
      <c r="A32" s="31" t="s">
        <v>72</v>
      </c>
      <c r="B32" s="12">
        <v>1.5</v>
      </c>
      <c r="C32" s="45" t="s">
        <v>35</v>
      </c>
      <c r="D32" s="42"/>
      <c r="E32" s="51">
        <f>E30-E33</f>
        <v>1049.843363</v>
      </c>
      <c r="F32" s="98" t="s">
        <v>73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31" t="s">
        <v>74</v>
      </c>
      <c r="B33" s="12">
        <f>A6</f>
        <v>31800</v>
      </c>
      <c r="C33" s="100" t="s">
        <v>75</v>
      </c>
      <c r="D33" s="42"/>
      <c r="E33" s="55">
        <f>E30*E29</f>
        <v>10.15663681</v>
      </c>
      <c r="F33" s="101" t="s">
        <v>76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31" t="s">
        <v>77</v>
      </c>
      <c r="B34" s="12">
        <f>((B6*1000000+E8)*B32)/1024/1024</f>
        <v>304.6991043</v>
      </c>
      <c r="C34" s="45" t="s">
        <v>75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78</v>
      </c>
      <c r="B35" s="105">
        <f>B33/30</f>
        <v>1060</v>
      </c>
      <c r="C35" s="63" t="s">
        <v>75</v>
      </c>
      <c r="D35" s="80"/>
      <c r="E35" s="106" t="s">
        <v>79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80"/>
      <c r="E36" s="108" t="s">
        <v>80</v>
      </c>
      <c r="F36" s="81">
        <f>E16</f>
        <v>13466.66667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80"/>
      <c r="E37" s="108" t="s">
        <v>81</v>
      </c>
      <c r="F37" s="81">
        <f>E22</f>
        <v>21558390.73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80"/>
      <c r="E38" s="108" t="s">
        <v>82</v>
      </c>
      <c r="F38" s="81">
        <f>E32+E33</f>
        <v>1060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80"/>
      <c r="E39" s="108" t="s">
        <v>59</v>
      </c>
      <c r="F39" s="81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80"/>
      <c r="E40" s="109" t="s">
        <v>83</v>
      </c>
      <c r="F40" s="12">
        <f>A10/30</f>
        <v>6300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4"/>
      <c r="F42" s="3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80"/>
      <c r="E46" s="110" t="s">
        <v>84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112" t="s">
        <v>81</v>
      </c>
      <c r="F50" s="113">
        <v>6780000.0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