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  <sheet state="visible" name="Convert DD hourly" sheetId="2" r:id="rId6"/>
  </sheets>
  <definedNames/>
  <calcPr/>
</workbook>
</file>

<file path=xl/sharedStrings.xml><?xml version="1.0" encoding="utf-8"?>
<sst xmlns="http://schemas.openxmlformats.org/spreadsheetml/2006/main" count="111" uniqueCount="84">
  <si>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</si>
  <si>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</si>
  <si>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</si>
  <si>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</si>
  <si>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</si>
  <si>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</si>
  <si>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</si>
  <si>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</si>
  <si>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</si>
  <si>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</si>
  <si>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- 90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</si>
  <si>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</si>
  <si>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</si>
  <si>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</si>
  <si>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</si>
  <si>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</si>
  <si>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</si>
  <si>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</si>
  <si>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Functions</t>
  </si>
  <si>
    <t>Error Tracking Events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</si>
  <si>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</si>
  <si>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</si>
  <si>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</si>
  <si>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</si>
  <si>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</si>
  <si>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</si>
  <si>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</si>
  <si>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</si>
  <si>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</si>
  <si>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</si>
  <si>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</si>
  <si>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</si>
  <si>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</si>
  <si>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</si>
  <si>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</si>
  <si>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</si>
  <si>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</si>
  <si>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</si>
  <si>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</si>
  <si>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</si>
  <si>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</si>
  <si>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</si>
  <si>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</si>
  <si>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</si>
  <si>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</si>
  <si>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</si>
  <si>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</si>
  <si>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</si>
  <si>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</si>
  <si>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Serverless Workload Functions</t>
  </si>
  <si>
    <t>Enter Serverless Workload Functions (Hours)</t>
  </si>
  <si>
    <t>Metrics</t>
  </si>
  <si>
    <t>TS (NumSeries)</t>
  </si>
  <si>
    <t>Monthly</t>
  </si>
  <si>
    <t>Daily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</si>
  <si>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</si>
  <si>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</si>
  <si>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</si>
  <si>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</si>
  <si>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</si>
  <si>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</si>
  <si>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t>Serverless</t>
  </si>
  <si>
    <t xml:space="preserve">Metrics Units / Day </t>
  </si>
  <si>
    <t>AVG 750 time series per node</t>
  </si>
  <si>
    <t>Custom Metrics (count, sum, min, max, avg,Value,p50, p75, p90, p95, p99)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</si>
  <si>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</si>
  <si>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</si>
  <si>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</si>
  <si>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</si>
  <si>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</si>
  <si>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</si>
  <si>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</si>
  <si>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</si>
  <si>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</si>
  <si>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</si>
  <si>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</si>
  <si>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</si>
  <si>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</si>
  <si>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</si>
  <si>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</si>
  <si>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</si>
  <si>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</si>
  <si>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</si>
  <si>
    <t>Convert Hourly to Hosts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</si>
</sst>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/>
    <font>
      <color theme="1"/>
      <name val="Arial"/>
    </font>
    <font>
      <sz val="12.0"/>
      <color theme="1"/>
      <name val="Calibri"/>
    </font>
    <font>
      <sz val="12.0"/>
      <color rgb="FF666666"/>
      <name val="Calibri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0" fontId="4" numFmtId="1" xfId="0" applyAlignment="1" applyBorder="1" applyFont="1" applyNumberFormat="1">
      <alignment horizontal="right" readingOrder="0" vertical="bottom"/>
    </xf>
    <xf borderId="6" fillId="0" fontId="4" numFmtId="3" xfId="0" applyAlignment="1" applyBorder="1" applyFont="1" applyNumberFormat="1">
      <alignment horizontal="right" readingOrder="0" vertical="bottom"/>
    </xf>
    <xf borderId="6" fillId="0" fontId="4" numFmtId="3" xfId="0" applyAlignment="1" applyBorder="1" applyFont="1" applyNumberFormat="1">
      <alignment horizontal="right" vertical="bottom"/>
    </xf>
    <xf borderId="6" fillId="0" fontId="3" numFmtId="3" xfId="0" applyAlignment="1" applyBorder="1" applyFont="1" applyNumberFormat="1">
      <alignment readingOrder="0" vertical="bottom"/>
    </xf>
    <xf borderId="5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6" fillId="0" fontId="4" numFmtId="1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2" numFmtId="0" xfId="0" applyBorder="1" applyFont="1"/>
    <xf borderId="10" fillId="0" fontId="2" numFmtId="0" xfId="0" applyBorder="1" applyFont="1"/>
    <xf borderId="11" fillId="4" fontId="1" numFmtId="0" xfId="0" applyAlignment="1" applyBorder="1" applyFill="1" applyFont="1">
      <alignment horizontal="center" vertical="bottom"/>
    </xf>
    <xf borderId="7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7" fillId="0" fontId="3" numFmtId="1" xfId="0" applyAlignment="1" applyBorder="1" applyFont="1" applyNumberFormat="1">
      <alignment vertical="bottom"/>
    </xf>
    <xf borderId="13" fillId="0" fontId="4" numFmtId="0" xfId="0" applyAlignment="1" applyBorder="1" applyFont="1">
      <alignment vertical="bottom"/>
    </xf>
    <xf borderId="14" fillId="0" fontId="4" numFmtId="1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12" fillId="0" fontId="1" numFmtId="0" xfId="0" applyAlignment="1" applyBorder="1" applyFont="1">
      <alignment vertical="bottom"/>
    </xf>
    <xf borderId="7" fillId="0" fontId="3" numFmtId="3" xfId="0" applyAlignment="1" applyBorder="1" applyFont="1" applyNumberFormat="1">
      <alignment vertical="bottom"/>
    </xf>
    <xf borderId="7" fillId="0" fontId="3" numFmtId="164" xfId="0" applyAlignment="1" applyBorder="1" applyFont="1" applyNumberFormat="1">
      <alignment vertical="bottom"/>
    </xf>
    <xf borderId="15" fillId="0" fontId="3" numFmtId="0" xfId="0" applyAlignment="1" applyBorder="1" applyFont="1">
      <alignment vertical="bottom"/>
    </xf>
    <xf borderId="12" fillId="0" fontId="1" numFmtId="1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14" fillId="0" fontId="4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5" fillId="0" fontId="1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6" fillId="0" fontId="4" numFmtId="2" xfId="0" applyAlignment="1" applyBorder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15" fillId="0" fontId="4" numFmtId="0" xfId="0" applyAlignment="1" applyBorder="1" applyFont="1">
      <alignment vertical="bottom"/>
    </xf>
    <xf borderId="0" fillId="5" fontId="1" numFmtId="1" xfId="0" applyAlignment="1" applyFill="1" applyFont="1" applyNumberFormat="1">
      <alignment horizontal="right" vertical="bottom"/>
    </xf>
    <xf borderId="15" fillId="5" fontId="1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17" fillId="0" fontId="4" numFmtId="1" xfId="0" applyAlignment="1" applyBorder="1" applyFont="1" applyNumberFormat="1">
      <alignment horizontal="right" vertical="bottom"/>
    </xf>
    <xf borderId="7" fillId="5" fontId="1" numFmtId="1" xfId="0" applyAlignment="1" applyBorder="1" applyFont="1" applyNumberFormat="1">
      <alignment horizontal="right" vertical="bottom"/>
    </xf>
    <xf borderId="12" fillId="5" fontId="1" numFmtId="164" xfId="0" applyAlignment="1" applyBorder="1" applyFont="1" applyNumberFormat="1">
      <alignment vertical="bottom"/>
    </xf>
    <xf borderId="18" fillId="0" fontId="4" numFmtId="0" xfId="0" applyAlignment="1" applyBorder="1" applyFont="1">
      <alignment readingOrder="0" vertical="bottom"/>
    </xf>
    <xf borderId="19" fillId="0" fontId="4" numFmtId="3" xfId="0" applyAlignment="1" applyBorder="1" applyFont="1" applyNumberFormat="1">
      <alignment horizontal="right" vertical="bottom"/>
    </xf>
    <xf borderId="20" fillId="0" fontId="4" numFmtId="1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21" fillId="0" fontId="4" numFmtId="0" xfId="0" applyAlignment="1" applyBorder="1" applyFont="1">
      <alignment vertical="bottom"/>
    </xf>
    <xf borderId="21" fillId="0" fontId="4" numFmtId="2" xfId="0" applyAlignment="1" applyBorder="1" applyFont="1" applyNumberFormat="1">
      <alignment horizontal="right" vertical="bottom"/>
    </xf>
    <xf borderId="12" fillId="0" fontId="4" numFmtId="164" xfId="0" applyAlignment="1" applyBorder="1" applyFont="1" applyNumberFormat="1">
      <alignment vertical="bottom"/>
    </xf>
    <xf borderId="22" fillId="0" fontId="4" numFmtId="3" xfId="0" applyAlignment="1" applyBorder="1" applyFont="1" applyNumberFormat="1">
      <alignment readingOrder="0" vertical="bottom"/>
    </xf>
    <xf borderId="23" fillId="0" fontId="4" numFmtId="3" xfId="0" applyAlignment="1" applyBorder="1" applyFont="1" applyNumberFormat="1">
      <alignment horizontal="right" vertical="bottom"/>
    </xf>
    <xf borderId="24" fillId="0" fontId="4" numFmtId="1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12" fillId="0" fontId="1" numFmtId="0" xfId="0" applyAlignment="1" applyBorder="1" applyFont="1">
      <alignment vertical="bottom"/>
    </xf>
    <xf borderId="0" fillId="0" fontId="4" numFmtId="3" xfId="0" applyAlignment="1" applyFont="1" applyNumberFormat="1">
      <alignment horizontal="right" vertical="bottom"/>
    </xf>
    <xf borderId="15" fillId="0" fontId="4" numFmtId="164" xfId="0" applyAlignment="1" applyBorder="1" applyFont="1" applyNumberFormat="1">
      <alignment vertical="bottom"/>
    </xf>
    <xf borderId="25" fillId="0" fontId="3" numFmtId="3" xfId="0" applyAlignment="1" applyBorder="1" applyFont="1" applyNumberFormat="1">
      <alignment vertical="bottom"/>
    </xf>
    <xf borderId="21" fillId="0" fontId="1" numFmtId="3" xfId="0" applyAlignment="1" applyBorder="1" applyFont="1" applyNumberFormat="1">
      <alignment vertical="bottom"/>
    </xf>
    <xf borderId="12" fillId="0" fontId="1" numFmtId="3" xfId="0" applyAlignment="1" applyBorder="1" applyFont="1" applyNumberFormat="1">
      <alignment vertical="bottom"/>
    </xf>
    <xf borderId="14" fillId="0" fontId="3" numFmtId="164" xfId="0" applyAlignment="1" applyBorder="1" applyFont="1" applyNumberFormat="1">
      <alignment vertical="bottom"/>
    </xf>
    <xf borderId="13" fillId="0" fontId="4" numFmtId="3" xfId="0" applyAlignment="1" applyBorder="1" applyFont="1" applyNumberFormat="1">
      <alignment vertical="bottom"/>
    </xf>
    <xf borderId="5" fillId="0" fontId="4" numFmtId="3" xfId="0" applyAlignment="1" applyBorder="1" applyFont="1" applyNumberFormat="1">
      <alignment horizontal="right" vertical="bottom"/>
    </xf>
    <xf borderId="17" fillId="0" fontId="4" numFmtId="3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26" fillId="0" fontId="4" numFmtId="3" xfId="0" applyAlignment="1" applyBorder="1" applyFont="1" applyNumberFormat="1">
      <alignment vertical="bottom"/>
    </xf>
    <xf borderId="27" fillId="0" fontId="4" numFmtId="3" xfId="0" applyAlignment="1" applyBorder="1" applyFont="1" applyNumberFormat="1">
      <alignment horizontal="right" vertical="bottom"/>
    </xf>
    <xf borderId="28" fillId="0" fontId="4" numFmtId="3" xfId="0" applyAlignment="1" applyBorder="1" applyFont="1" applyNumberFormat="1">
      <alignment horizontal="right" vertical="bottom"/>
    </xf>
    <xf borderId="12" fillId="5" fontId="1" numFmtId="0" xfId="0" applyAlignment="1" applyBorder="1" applyFont="1">
      <alignment vertical="bottom"/>
    </xf>
    <xf borderId="6" fillId="0" fontId="4" numFmtId="0" xfId="0" applyAlignment="1" applyBorder="1" applyFont="1">
      <alignment shrinkToFit="0" vertical="bottom" wrapText="1"/>
    </xf>
    <xf borderId="21" fillId="0" fontId="4" numFmtId="0" xfId="0" applyAlignment="1" applyBorder="1" applyFont="1">
      <alignment vertical="bottom"/>
    </xf>
    <xf borderId="21" fillId="0" fontId="3" numFmtId="3" xfId="0" applyAlignment="1" applyBorder="1" applyFont="1" applyNumberFormat="1">
      <alignment vertical="bottom"/>
    </xf>
    <xf borderId="15" fillId="0" fontId="1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15" fillId="0" fontId="4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6" fillId="0" fontId="4" numFmtId="0" xfId="0" applyAlignment="1" applyBorder="1" applyFont="1">
      <alignment horizontal="right" readingOrder="0" vertical="bottom"/>
    </xf>
    <xf borderId="14" fillId="0" fontId="4" numFmtId="0" xfId="0" applyAlignment="1" applyBorder="1" applyFont="1">
      <alignment vertical="bottom"/>
    </xf>
    <xf borderId="12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25" fillId="0" fontId="4" numFmtId="0" xfId="0" applyAlignment="1" applyBorder="1" applyFont="1">
      <alignment vertical="bottom"/>
    </xf>
    <xf borderId="21" fillId="0" fontId="4" numFmtId="3" xfId="0" applyAlignment="1" applyBorder="1" applyFont="1" applyNumberFormat="1">
      <alignment horizontal="right" vertical="bottom"/>
    </xf>
    <xf borderId="30" fillId="0" fontId="3" numFmtId="0" xfId="0" applyAlignment="1" applyBorder="1" applyFont="1">
      <alignment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30" fillId="0" fontId="4" numFmtId="3" xfId="0" applyAlignment="1" applyBorder="1" applyFont="1" applyNumberFormat="1">
      <alignment horizontal="right"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31" fillId="0" fontId="6" numFmtId="0" xfId="0" applyAlignment="1" applyBorder="1" applyFont="1">
      <alignment vertical="bottom"/>
    </xf>
    <xf borderId="32" fillId="0" fontId="2" numFmtId="0" xfId="0" applyBorder="1" applyFont="1"/>
    <xf borderId="33" fillId="0" fontId="2" numFmtId="0" xfId="0" applyBorder="1" applyFont="1"/>
    <xf borderId="34" fillId="0" fontId="3" numFmtId="0" xfId="0" applyAlignment="1" applyBorder="1" applyFont="1">
      <alignment vertical="bottom"/>
    </xf>
    <xf borderId="35" fillId="0" fontId="6" numFmtId="0" xfId="0" applyAlignment="1" applyBorder="1" applyFont="1">
      <alignment vertical="bottom"/>
    </xf>
    <xf borderId="36" fillId="0" fontId="6" numFmtId="0" xfId="0" applyAlignment="1" applyBorder="1" applyFont="1">
      <alignment vertical="bottom"/>
    </xf>
    <xf borderId="34" fillId="0" fontId="7" numFmtId="0" xfId="0" applyAlignment="1" applyBorder="1" applyFont="1">
      <alignment vertical="bottom"/>
    </xf>
    <xf borderId="35" fillId="0" fontId="7" numFmtId="3" xfId="0" applyAlignment="1" applyBorder="1" applyFont="1" applyNumberFormat="1">
      <alignment readingOrder="0" vertical="bottom"/>
    </xf>
    <xf borderId="36" fillId="0" fontId="7" numFmtId="1" xfId="0" applyAlignment="1" applyBorder="1" applyFont="1" applyNumberFormat="1">
      <alignment vertical="bottom"/>
    </xf>
    <xf borderId="34" fillId="0" fontId="7" numFmtId="0" xfId="0" applyAlignment="1" applyBorder="1" applyFont="1">
      <alignment readingOrder="0" vertical="bottom"/>
    </xf>
    <xf borderId="37" fillId="0" fontId="7" numFmtId="0" xfId="0" applyAlignment="1" applyBorder="1" applyFont="1">
      <alignment vertical="bottom"/>
    </xf>
    <xf borderId="38" fillId="0" fontId="7" numFmtId="3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200275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1504950</xdr:colOff>
      <xdr:row>39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28575</xdr:colOff>
      <xdr:row>29</xdr:row>
      <xdr:rowOff>257175</xdr:rowOff>
    </xdr:from>
    <xdr:ext cx="10715625" cy="3057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44</xdr:row>
      <xdr:rowOff>66675</xdr:rowOff>
    </xdr:from>
    <xdr:ext cx="10839450" cy="28575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0</xdr:row>
      <xdr:rowOff>0</xdr:rowOff>
    </xdr:from>
    <xdr:ext cx="1352550" cy="8858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152400</xdr:rowOff>
    </xdr:from>
    <xdr:ext cx="1790700" cy="17907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0</xdr:row>
      <xdr:rowOff>152400</xdr:rowOff>
    </xdr:from>
    <xdr:ext cx="3114675" cy="16383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47625</xdr:rowOff>
    </xdr:from>
    <xdr:ext cx="6381750" cy="73152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6.38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N1" s="4"/>
      <c r="O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M2" s="4"/>
      <c r="N2" s="4"/>
      <c r="O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7" t="s">
        <v>6</v>
      </c>
      <c r="G3" s="4"/>
      <c r="M3" s="4"/>
      <c r="N3" s="4"/>
      <c r="O3" s="4"/>
      <c r="P3" s="4"/>
      <c r="Q3" s="4"/>
      <c r="R3" s="4"/>
      <c r="S3" s="4"/>
      <c r="T3" s="4"/>
    </row>
    <row r="4">
      <c r="A4" s="9">
        <v>200.0</v>
      </c>
      <c r="B4" s="10">
        <v>135.0</v>
      </c>
      <c r="C4" s="11"/>
      <c r="D4" s="12">
        <v>374.0</v>
      </c>
      <c r="E4" s="11"/>
      <c r="F4" s="11" t="str">
        <f>J22</f>
        <v>Daily</v>
      </c>
      <c r="G4" s="4"/>
      <c r="M4" s="4"/>
      <c r="N4" s="4"/>
      <c r="O4" s="4"/>
      <c r="P4" s="4"/>
      <c r="Q4" s="4"/>
      <c r="R4" s="4"/>
      <c r="S4" s="4"/>
      <c r="T4" s="4"/>
    </row>
    <row r="5">
      <c r="A5" s="13" t="s">
        <v>7</v>
      </c>
      <c r="B5" s="8" t="s">
        <v>8</v>
      </c>
      <c r="C5" s="8" t="s">
        <v>9</v>
      </c>
      <c r="D5" s="8" t="s">
        <v>10</v>
      </c>
      <c r="E5" s="7" t="s">
        <v>11</v>
      </c>
      <c r="F5" s="14" t="s">
        <v>12</v>
      </c>
      <c r="G5" s="4"/>
      <c r="M5" s="4"/>
      <c r="N5" s="4"/>
      <c r="O5" s="4"/>
      <c r="P5" s="4"/>
      <c r="Q5" s="4"/>
      <c r="R5" s="4"/>
      <c r="S5" s="4"/>
      <c r="T5" s="4"/>
    </row>
    <row r="6">
      <c r="A6" s="10">
        <v>35.0</v>
      </c>
      <c r="B6" s="10">
        <v>1.0</v>
      </c>
      <c r="C6" s="10">
        <v>1150.0</v>
      </c>
      <c r="D6" s="11">
        <v>0.0</v>
      </c>
      <c r="E6" s="11">
        <v>0.0</v>
      </c>
      <c r="F6" s="11">
        <v>0.0</v>
      </c>
      <c r="G6" s="4"/>
      <c r="M6" s="4"/>
      <c r="N6" s="4"/>
      <c r="O6" s="4"/>
      <c r="P6" s="4"/>
      <c r="Q6" s="4"/>
      <c r="R6" s="4"/>
      <c r="S6" s="4"/>
      <c r="T6" s="4"/>
    </row>
    <row r="7">
      <c r="A7" s="15" t="s">
        <v>13</v>
      </c>
      <c r="B7" s="16" t="s">
        <v>14</v>
      </c>
      <c r="C7" s="14" t="s">
        <v>15</v>
      </c>
      <c r="D7" s="14" t="s">
        <v>16</v>
      </c>
      <c r="E7" s="14" t="s">
        <v>17</v>
      </c>
      <c r="F7" s="14" t="s">
        <v>18</v>
      </c>
      <c r="G7" s="4"/>
      <c r="M7" s="4"/>
      <c r="N7" s="4"/>
      <c r="O7" s="4"/>
      <c r="P7" s="4"/>
      <c r="Q7" s="4"/>
      <c r="R7" s="4"/>
      <c r="S7" s="4"/>
      <c r="T7" s="4"/>
    </row>
    <row r="8">
      <c r="A8" s="9">
        <v>23.0</v>
      </c>
      <c r="B8" s="11"/>
      <c r="C8" s="9">
        <v>3025.0</v>
      </c>
      <c r="D8" s="11">
        <v>0.0</v>
      </c>
      <c r="E8" s="10">
        <v>29000.0</v>
      </c>
      <c r="F8" s="10"/>
      <c r="G8" s="4"/>
      <c r="M8" s="4"/>
      <c r="N8" s="4"/>
      <c r="O8" s="4"/>
      <c r="P8" s="4"/>
      <c r="Q8" s="4"/>
      <c r="R8" s="4"/>
      <c r="S8" s="4"/>
      <c r="T8" s="4"/>
    </row>
    <row r="9">
      <c r="A9" s="15" t="s">
        <v>19</v>
      </c>
      <c r="B9" s="4"/>
      <c r="C9" s="4"/>
      <c r="D9" s="4"/>
      <c r="E9" s="4"/>
      <c r="F9" s="4"/>
      <c r="G9" s="4"/>
      <c r="M9" s="4"/>
      <c r="N9" s="4"/>
      <c r="O9" s="4"/>
      <c r="P9" s="4"/>
      <c r="Q9" s="4"/>
      <c r="R9" s="4"/>
      <c r="S9" s="4"/>
      <c r="T9" s="4"/>
    </row>
    <row r="10">
      <c r="A10" s="1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18"/>
      <c r="B11" s="18"/>
      <c r="C11" s="18"/>
      <c r="D11" s="18"/>
      <c r="E11" s="18"/>
      <c r="F11" s="18"/>
      <c r="G11" s="4"/>
      <c r="H11" s="19"/>
      <c r="I11" s="20"/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2" t="s">
        <v>20</v>
      </c>
      <c r="B12" s="23"/>
      <c r="C12" s="23"/>
      <c r="D12" s="23"/>
      <c r="E12" s="23"/>
      <c r="F12" s="24"/>
      <c r="G12" s="4"/>
      <c r="H12" s="25"/>
      <c r="I12" s="26" t="s">
        <v>21</v>
      </c>
      <c r="J12" s="27" t="s">
        <v>22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18"/>
      <c r="B13" s="28"/>
      <c r="C13" s="29"/>
      <c r="D13" s="4"/>
      <c r="E13" s="30"/>
      <c r="F13" s="4"/>
      <c r="G13" s="4"/>
      <c r="H13" s="31" t="s">
        <v>1</v>
      </c>
      <c r="I13" s="10">
        <v>131000.0</v>
      </c>
      <c r="J13" s="32">
        <f t="shared" ref="J13:J20" si="1">(I13/30/24)*1.1</f>
        <v>200.1388889</v>
      </c>
      <c r="K13" s="33" t="s">
        <v>23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4" t="s">
        <v>24</v>
      </c>
      <c r="B14" s="35"/>
      <c r="C14" s="36"/>
      <c r="D14" s="37"/>
      <c r="E14" s="38" t="s">
        <v>24</v>
      </c>
      <c r="F14" s="18"/>
      <c r="G14" s="4"/>
      <c r="H14" s="31" t="s">
        <v>15</v>
      </c>
      <c r="I14" s="10">
        <v>1980000.0</v>
      </c>
      <c r="J14" s="32">
        <f t="shared" si="1"/>
        <v>3025</v>
      </c>
      <c r="K14" s="33" t="s">
        <v>25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39" t="s">
        <v>26</v>
      </c>
      <c r="B15" s="11">
        <f>C6+E6</f>
        <v>1150</v>
      </c>
      <c r="C15" s="40" t="s">
        <v>27</v>
      </c>
      <c r="D15" s="37"/>
      <c r="E15" s="41">
        <f>B19/B15</f>
        <v>0.7753786833</v>
      </c>
      <c r="F15" s="42" t="s">
        <v>28</v>
      </c>
      <c r="G15" s="4"/>
      <c r="H15" s="43" t="s">
        <v>16</v>
      </c>
      <c r="I15" s="11">
        <v>0.0</v>
      </c>
      <c r="J15" s="32">
        <f t="shared" si="1"/>
        <v>0</v>
      </c>
      <c r="K15" s="44" t="s">
        <v>29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39" t="s">
        <v>30</v>
      </c>
      <c r="B16" s="45">
        <v>2.5</v>
      </c>
      <c r="C16" s="40" t="s">
        <v>31</v>
      </c>
      <c r="D16" s="37"/>
      <c r="E16" s="46">
        <f>B15/30</f>
        <v>38.33333333</v>
      </c>
      <c r="F16" s="47" t="s">
        <v>32</v>
      </c>
      <c r="G16" s="4"/>
      <c r="H16" s="31" t="s">
        <v>13</v>
      </c>
      <c r="I16" s="10">
        <v>21.0</v>
      </c>
      <c r="J16" s="32">
        <f t="shared" si="1"/>
        <v>0.03208333333</v>
      </c>
      <c r="K16" s="33" t="s">
        <v>33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39" t="s">
        <v>34</v>
      </c>
      <c r="B17" s="11">
        <f>(C4+D4+D6)*1000000</f>
        <v>374000000</v>
      </c>
      <c r="C17" s="40" t="s">
        <v>35</v>
      </c>
      <c r="D17" s="37"/>
      <c r="E17" s="48">
        <f>E16*0.5</f>
        <v>19.16666667</v>
      </c>
      <c r="F17" s="49" t="s">
        <v>36</v>
      </c>
      <c r="G17" s="4"/>
      <c r="H17" s="43" t="s">
        <v>14</v>
      </c>
      <c r="I17" s="11">
        <v>0.0</v>
      </c>
      <c r="J17" s="32">
        <f t="shared" si="1"/>
        <v>0</v>
      </c>
      <c r="K17" s="33" t="s">
        <v>37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39" t="s">
        <v>38</v>
      </c>
      <c r="B18" s="11">
        <f>(B17*B16)*1024</f>
        <v>957440000000</v>
      </c>
      <c r="C18" s="40" t="s">
        <v>39</v>
      </c>
      <c r="D18" s="37"/>
      <c r="E18" s="48">
        <f>E16*0.4</f>
        <v>15.33333333</v>
      </c>
      <c r="F18" s="49" t="s">
        <v>40</v>
      </c>
      <c r="G18" s="4"/>
      <c r="H18" s="50" t="s">
        <v>41</v>
      </c>
      <c r="I18" s="11">
        <v>0.0</v>
      </c>
      <c r="J18" s="51">
        <f t="shared" si="1"/>
        <v>0</v>
      </c>
      <c r="K18" s="33" t="s">
        <v>42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39" t="s">
        <v>43</v>
      </c>
      <c r="B19" s="45">
        <f>B18/POW(1024,3)</f>
        <v>891.6854858</v>
      </c>
      <c r="C19" s="40" t="s">
        <v>27</v>
      </c>
      <c r="D19" s="37"/>
      <c r="E19" s="52">
        <f>E16*0.1</f>
        <v>3.833333333</v>
      </c>
      <c r="F19" s="53" t="s">
        <v>44</v>
      </c>
      <c r="G19" s="4"/>
      <c r="H19" s="54" t="s">
        <v>45</v>
      </c>
      <c r="I19" s="55">
        <v>0.0</v>
      </c>
      <c r="J19" s="56">
        <f t="shared" si="1"/>
        <v>0</v>
      </c>
      <c r="K19" s="57" t="s">
        <v>46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47</v>
      </c>
      <c r="B20" s="59">
        <f>B19/30</f>
        <v>29.72284953</v>
      </c>
      <c r="C20" s="60" t="s">
        <v>48</v>
      </c>
      <c r="D20" s="4"/>
      <c r="E20" s="30"/>
      <c r="F20" s="28"/>
      <c r="G20" s="4"/>
      <c r="H20" s="61" t="s">
        <v>49</v>
      </c>
      <c r="I20" s="62">
        <v>0.0</v>
      </c>
      <c r="J20" s="63">
        <f t="shared" si="1"/>
        <v>0</v>
      </c>
      <c r="K20" s="57" t="s">
        <v>50</v>
      </c>
      <c r="L20" s="4"/>
      <c r="M20" s="4"/>
      <c r="N20" s="4"/>
      <c r="O20" s="4"/>
      <c r="P20" s="4"/>
      <c r="Q20" s="4"/>
      <c r="R20" s="4"/>
      <c r="S20" s="4"/>
      <c r="T20" s="4"/>
    </row>
    <row r="21">
      <c r="A21" s="18"/>
      <c r="B21" s="64"/>
      <c r="C21" s="29"/>
      <c r="D21" s="37"/>
      <c r="E21" s="34" t="s">
        <v>51</v>
      </c>
      <c r="F21" s="18"/>
      <c r="G21" s="4"/>
      <c r="H21" s="19"/>
      <c r="I21" s="20"/>
      <c r="J21" s="21"/>
      <c r="K21" s="33"/>
      <c r="L21" s="4"/>
      <c r="M21" s="4"/>
      <c r="N21" s="4"/>
      <c r="O21" s="4"/>
      <c r="P21" s="4"/>
      <c r="Q21" s="4"/>
      <c r="R21" s="4"/>
      <c r="S21" s="4"/>
      <c r="T21" s="4"/>
    </row>
    <row r="22">
      <c r="A22" s="65" t="s">
        <v>51</v>
      </c>
      <c r="B22" s="35"/>
      <c r="C22" s="36"/>
      <c r="D22" s="37"/>
      <c r="E22" s="66">
        <f>sum(B26:B28)</f>
        <v>2436135</v>
      </c>
      <c r="F22" s="67" t="s">
        <v>52</v>
      </c>
      <c r="G22" s="4"/>
      <c r="H22" s="68"/>
      <c r="I22" s="69" t="s">
        <v>53</v>
      </c>
      <c r="J22" s="70" t="s">
        <v>54</v>
      </c>
      <c r="K22" s="44"/>
      <c r="L22" s="4"/>
      <c r="M22" s="4"/>
      <c r="N22" s="4"/>
      <c r="O22" s="4"/>
      <c r="P22" s="4"/>
      <c r="Q22" s="4"/>
      <c r="R22" s="4"/>
      <c r="S22" s="4"/>
      <c r="T22" s="4"/>
    </row>
    <row r="23">
      <c r="A23" s="39" t="s">
        <v>22</v>
      </c>
      <c r="B23" s="17">
        <f>A4+A8+B8+F6</f>
        <v>223</v>
      </c>
      <c r="C23" s="71"/>
      <c r="D23" s="37"/>
      <c r="E23" s="46">
        <f>E22/1000</f>
        <v>2436.135</v>
      </c>
      <c r="F23" s="47" t="s">
        <v>55</v>
      </c>
      <c r="G23" s="4"/>
      <c r="H23" s="72" t="s">
        <v>56</v>
      </c>
      <c r="I23" s="73">
        <v>195000.0</v>
      </c>
      <c r="J23" s="74">
        <f>I23/30.4</f>
        <v>6414.473684</v>
      </c>
      <c r="K23" s="33" t="s">
        <v>57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39" t="s">
        <v>15</v>
      </c>
      <c r="B24" s="11">
        <f>C8+D8</f>
        <v>3025</v>
      </c>
      <c r="C24" s="71"/>
      <c r="D24" s="37"/>
      <c r="E24" s="75">
        <v>3.3E-5</v>
      </c>
      <c r="F24" s="47" t="s">
        <v>58</v>
      </c>
      <c r="G24" s="4"/>
      <c r="H24" s="76" t="s">
        <v>59</v>
      </c>
      <c r="I24" s="77">
        <v>12800.0</v>
      </c>
      <c r="J24" s="78">
        <f>I24/10000000</f>
        <v>0.00128</v>
      </c>
      <c r="K24" s="44" t="s">
        <v>60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39" t="s">
        <v>61</v>
      </c>
      <c r="B25" s="11">
        <f>F8*15*24</f>
        <v>0</v>
      </c>
      <c r="C25" s="40" t="s">
        <v>52</v>
      </c>
      <c r="D25" s="37"/>
      <c r="E25" s="52">
        <f>E22*E24</f>
        <v>80.392455</v>
      </c>
      <c r="F25" s="79" t="s">
        <v>62</v>
      </c>
      <c r="G25" s="4"/>
      <c r="H25" s="4"/>
      <c r="I25" s="2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39" t="s">
        <v>63</v>
      </c>
      <c r="B26" s="11">
        <f>((B24+B23)*750)+B25</f>
        <v>2436000</v>
      </c>
      <c r="C26" s="40" t="s">
        <v>52</v>
      </c>
      <c r="D26" s="4"/>
      <c r="E26" s="35"/>
      <c r="F26" s="28"/>
      <c r="G26" s="4"/>
      <c r="H26" s="4"/>
      <c r="I26" s="2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80" t="s">
        <v>64</v>
      </c>
      <c r="B27" s="11">
        <f>B4</f>
        <v>135</v>
      </c>
      <c r="C27" s="40" t="s">
        <v>52</v>
      </c>
      <c r="D27" s="37"/>
      <c r="E27" s="70" t="s">
        <v>65</v>
      </c>
      <c r="F27" s="1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81" t="s">
        <v>66</v>
      </c>
      <c r="B28" s="82"/>
      <c r="C28" s="60" t="s">
        <v>67</v>
      </c>
      <c r="D28" s="37"/>
      <c r="E28" s="41">
        <f>B33/B32</f>
        <v>0.07009506226</v>
      </c>
      <c r="F28" s="83" t="s">
        <v>28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84"/>
      <c r="B29" s="85"/>
      <c r="C29" s="28"/>
      <c r="D29" s="37"/>
      <c r="E29" s="66">
        <f>B34</f>
        <v>1.166666667</v>
      </c>
      <c r="F29" s="86" t="s">
        <v>68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87" t="s">
        <v>65</v>
      </c>
      <c r="B30" s="35"/>
      <c r="C30" s="36"/>
      <c r="D30" s="37"/>
      <c r="E30" s="66">
        <f>E29*E28</f>
        <v>0.08177757263</v>
      </c>
      <c r="F30" s="47" t="s">
        <v>69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31" t="s">
        <v>70</v>
      </c>
      <c r="B31" s="88">
        <v>2.5</v>
      </c>
      <c r="C31" s="40" t="s">
        <v>31</v>
      </c>
      <c r="D31" s="37"/>
      <c r="E31" s="48">
        <f>E29-E32</f>
        <v>1.084889094</v>
      </c>
      <c r="F31" s="49" t="s">
        <v>71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31" t="s">
        <v>72</v>
      </c>
      <c r="B32" s="11">
        <f>A6</f>
        <v>35</v>
      </c>
      <c r="C32" s="89" t="s">
        <v>73</v>
      </c>
      <c r="D32" s="37"/>
      <c r="E32" s="52">
        <f>E29*E28</f>
        <v>0.08177757263</v>
      </c>
      <c r="F32" s="90" t="s">
        <v>74</v>
      </c>
      <c r="G32" s="4"/>
      <c r="H32" s="9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31" t="s">
        <v>75</v>
      </c>
      <c r="B33" s="11">
        <f>((B6*1000000+E8)*B31)/1024/1024</f>
        <v>2.453327179</v>
      </c>
      <c r="C33" s="89" t="s">
        <v>73</v>
      </c>
      <c r="D33" s="4"/>
      <c r="E33" s="92"/>
      <c r="F33" s="9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94" t="s">
        <v>76</v>
      </c>
      <c r="B34" s="95">
        <f>B32/30</f>
        <v>1.166666667</v>
      </c>
      <c r="C34" s="60" t="s">
        <v>73</v>
      </c>
      <c r="D34" s="96"/>
      <c r="E34" s="97" t="s">
        <v>77</v>
      </c>
      <c r="F34" s="9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4"/>
      <c r="D35" s="96"/>
      <c r="E35" s="99" t="s">
        <v>78</v>
      </c>
      <c r="F35" s="100">
        <f>E16</f>
        <v>38.33333333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96"/>
      <c r="E36" s="99" t="s">
        <v>79</v>
      </c>
      <c r="F36" s="100">
        <f>E22</f>
        <v>2436135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96"/>
      <c r="E37" s="99" t="s">
        <v>80</v>
      </c>
      <c r="F37" s="100">
        <f>E31+E32</f>
        <v>1.166666667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96"/>
      <c r="E38" s="99" t="s">
        <v>56</v>
      </c>
      <c r="F38" s="100" t="str">
        <f>E4</f>
        <v/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96"/>
      <c r="E39" s="101" t="s">
        <v>81</v>
      </c>
      <c r="F39" s="11">
        <f>A10/30</f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28"/>
      <c r="F42" s="2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96"/>
      <c r="E45" s="102" t="s">
        <v>82</v>
      </c>
      <c r="F45" s="10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</sheetData>
  <mergeCells count="7">
    <mergeCell ref="A1:F1"/>
    <mergeCell ref="H1:I9"/>
    <mergeCell ref="J1:L9"/>
    <mergeCell ref="H11:J11"/>
    <mergeCell ref="A12:F12"/>
    <mergeCell ref="H21:J21"/>
    <mergeCell ref="E45:F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04" t="s">
        <v>83</v>
      </c>
      <c r="B1" s="105"/>
      <c r="C1" s="106"/>
    </row>
    <row r="2">
      <c r="A2" s="107"/>
      <c r="B2" s="108" t="s">
        <v>21</v>
      </c>
      <c r="C2" s="109" t="s">
        <v>22</v>
      </c>
    </row>
    <row r="3">
      <c r="A3" s="110" t="s">
        <v>1</v>
      </c>
      <c r="B3" s="111">
        <v>1.6E7</v>
      </c>
      <c r="C3" s="112">
        <f t="shared" ref="C3:C8" si="1">(B3/30/24)*1.1</f>
        <v>24444.44444</v>
      </c>
    </row>
    <row r="4">
      <c r="A4" s="110" t="s">
        <v>15</v>
      </c>
      <c r="B4" s="111">
        <v>1.11E7</v>
      </c>
      <c r="C4" s="112">
        <f t="shared" si="1"/>
        <v>16958.33333</v>
      </c>
    </row>
    <row r="5">
      <c r="A5" s="113" t="s">
        <v>16</v>
      </c>
      <c r="B5" s="111">
        <v>1040000.0</v>
      </c>
      <c r="C5" s="112">
        <f t="shared" si="1"/>
        <v>1588.888889</v>
      </c>
    </row>
    <row r="6">
      <c r="A6" s="110" t="s">
        <v>13</v>
      </c>
      <c r="B6" s="111">
        <v>7450000.0</v>
      </c>
      <c r="C6" s="112">
        <f t="shared" si="1"/>
        <v>11381.94444</v>
      </c>
    </row>
    <row r="7">
      <c r="A7" s="113" t="s">
        <v>14</v>
      </c>
      <c r="B7" s="111">
        <v>1520000.0</v>
      </c>
      <c r="C7" s="112">
        <f t="shared" si="1"/>
        <v>2322.222222</v>
      </c>
    </row>
    <row r="8">
      <c r="A8" s="114" t="s">
        <v>41</v>
      </c>
      <c r="B8" s="115">
        <v>1.05E7</v>
      </c>
      <c r="C8" s="112">
        <f t="shared" si="1"/>
        <v>16041.66667</v>
      </c>
    </row>
  </sheetData>
  <mergeCells count="1">
    <mergeCell ref="A1:C1"/>
  </mergeCells>
  <drawing r:id="rId1"/>
</worksheet>
</file>