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DD Usage to Coralogix" sheetId="1" r:id="rId5"/>
    <sheet state="visible" name="Convert DD hourly" sheetId="2" r:id="rId6"/>
  </sheets>
  <definedNames/>
  <calcPr/>
</workbook>
</file>

<file path=xl/sharedStrings.xml><?xml version="1.0" encoding="utf-8"?>
<sst xmlns="http://schemas.openxmlformats.org/spreadsheetml/2006/main" count="112" uniqueCount="86">
  <si>
    <t>DD Usage</t>
  </si>
  <si>
    <t>Infra Hosts</t>
  </si>
  <si>
    <t>Custom Metrics</t>
  </si>
  <si>
    <t>Indexed Logs - Live &amp; Rehydrated (Million)</t>
  </si>
  <si>
    <t>Indexed Logs - 15 Day Retention (Million)</t>
  </si>
  <si>
    <t>Rum Sessions</t>
  </si>
  <si>
    <t>APM Host</t>
  </si>
  <si>
    <t>CI Spans Indexed</t>
  </si>
  <si>
    <t>Ingested Spans (GB)</t>
  </si>
  <si>
    <t>Indexed Spans (Million)</t>
  </si>
  <si>
    <t>Ingested Logs (Live &amp; Rehydrated) (GB)</t>
  </si>
  <si>
    <t>Indexed Logs - 90 Day Retention (Million)</t>
  </si>
  <si>
    <t>Analyzed Logs - (Security) - 15m retention  (GB)</t>
  </si>
  <si>
    <t>Fargate Tasks</t>
  </si>
  <si>
    <t>Cloud SIEM</t>
  </si>
  <si>
    <t>APM Hosts</t>
  </si>
  <si>
    <t>Profiled Hosts</t>
  </si>
  <si>
    <t>Containers</t>
  </si>
  <si>
    <t>Profiled Containers</t>
  </si>
  <si>
    <t>Custom Events</t>
  </si>
  <si>
    <t>Serverless Functions</t>
  </si>
  <si>
    <t>Database Monitoring</t>
  </si>
  <si>
    <t>Fargate Tasks (APM)</t>
  </si>
  <si>
    <t>Coralogix Sizing</t>
  </si>
  <si>
    <t>Fargate Tasks (Infra)</t>
  </si>
  <si>
    <t>Logs</t>
  </si>
  <si>
    <t>Indexed Spans - 15 Days</t>
  </si>
  <si>
    <t>Total Ingested Logs</t>
  </si>
  <si>
    <t>GB/month</t>
  </si>
  <si>
    <t>Current indexed percentage</t>
  </si>
  <si>
    <t>Hourly</t>
  </si>
  <si>
    <t>Hosts</t>
  </si>
  <si>
    <t>Infra Host</t>
  </si>
  <si>
    <t>Avg log size</t>
  </si>
  <si>
    <t>KB</t>
  </si>
  <si>
    <t>Total GB Logs / Day</t>
  </si>
  <si>
    <t>Log Event - 15 Days</t>
  </si>
  <si>
    <t>Total Indexed Logs</t>
  </si>
  <si>
    <t>Logs/month</t>
  </si>
  <si>
    <t>GB / Day  (FS) / 50%</t>
  </si>
  <si>
    <t>Log Event - 30 Days</t>
  </si>
  <si>
    <t>Total Indexed Logs Size (Bytes)</t>
  </si>
  <si>
    <t>Bytes/month</t>
  </si>
  <si>
    <t>GB / Day  (Mon) / 40%</t>
  </si>
  <si>
    <t xml:space="preserve">Log Ingestion </t>
  </si>
  <si>
    <t>Total Indexed Logs Size (GB)</t>
  </si>
  <si>
    <t>GB/ Day  (Comp) / 10%</t>
  </si>
  <si>
    <t>Network Hosts</t>
  </si>
  <si>
    <t>Total Indexed (GB)</t>
  </si>
  <si>
    <t xml:space="preserve"> GB / Day</t>
  </si>
  <si>
    <t>Pipeline Visability</t>
  </si>
  <si>
    <t>Metrics</t>
  </si>
  <si>
    <t>Custom Metric Hours</t>
  </si>
  <si>
    <t>TS (NumSeries)</t>
  </si>
  <si>
    <t>Monthly</t>
  </si>
  <si>
    <t>Daily</t>
  </si>
  <si>
    <t>RUM Sessions</t>
  </si>
  <si>
    <t>GB / Day</t>
  </si>
  <si>
    <t>Sensetive Data Sessions</t>
  </si>
  <si>
    <t>TS to Units</t>
  </si>
  <si>
    <t>Serverless</t>
  </si>
  <si>
    <t>AVG 750 time series per node</t>
  </si>
  <si>
    <t xml:space="preserve">Metrics Units / Day </t>
  </si>
  <si>
    <t>Synthetic - API Tests</t>
  </si>
  <si>
    <t>Custom Metrics (count, sum, min, max, avg,Value,p50, p75, p90, p95, p99)</t>
  </si>
  <si>
    <t>Synthetic - Browser</t>
  </si>
  <si>
    <t>Promethues Metrics</t>
  </si>
  <si>
    <t>NumSeries</t>
  </si>
  <si>
    <t>Tracing</t>
  </si>
  <si>
    <t>Total GB / Day (Ingest)</t>
  </si>
  <si>
    <t>Ingested spans</t>
  </si>
  <si>
    <t>GB/Month</t>
  </si>
  <si>
    <t>Indexed Tracing GB/Day</t>
  </si>
  <si>
    <t>Indexed spans</t>
  </si>
  <si>
    <t>GB Traces Archive</t>
  </si>
  <si>
    <t>Daily Ingested spans (Bytes)</t>
  </si>
  <si>
    <t>GB/Day</t>
  </si>
  <si>
    <t>GB Traces Indexed</t>
  </si>
  <si>
    <t>Totals</t>
  </si>
  <si>
    <t>Logs (GB)</t>
  </si>
  <si>
    <t>Metrics (NS)</t>
  </si>
  <si>
    <t>Tracing (GB)</t>
  </si>
  <si>
    <t>`</t>
  </si>
  <si>
    <t>Apply this information to the TCO Calculator</t>
  </si>
  <si>
    <t>Convert Hourly to Hosts</t>
  </si>
  <si>
    <t>Network hosts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</si>
</sst>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Arial"/>
      <scheme val="minor"/>
    </font>
    <font>
      <b/>
      <sz val="10.0"/>
      <color theme="1"/>
      <name val="Arial"/>
    </font>
    <font/>
    <font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sz val="11.0"/>
      <color theme="1"/>
      <name val="Arial"/>
    </font>
    <font>
      <color theme="1"/>
      <name val="Arial"/>
    </font>
    <font>
      <b/>
      <color theme="1"/>
      <name val="Arial"/>
    </font>
    <font>
      <b/>
      <sz val="12.0"/>
      <color theme="1"/>
      <name val="Calibri"/>
    </font>
    <font>
      <b/>
      <sz val="11.0"/>
      <color theme="1"/>
      <name val="Arial"/>
    </font>
    <font>
      <sz val="12.0"/>
      <color theme="1"/>
      <name val="Calibri"/>
    </font>
    <font>
      <b/>
      <sz val="35.0"/>
      <color theme="1"/>
      <name val="Calibri"/>
    </font>
    <font>
      <b/>
      <sz val="24.0"/>
      <color theme="1"/>
      <name val="Calibri"/>
    </font>
    <font>
      <sz val="2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A5DAB1"/>
        <bgColor rgb="FFA5DAB1"/>
      </patternFill>
    </fill>
    <fill>
      <patternFill patternType="solid">
        <fgColor rgb="FFCFE2F3"/>
        <bgColor rgb="FFCFE2F3"/>
      </patternFill>
    </fill>
  </fills>
  <borders count="40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3" xfId="0" applyFont="1" applyNumberFormat="1"/>
    <xf borderId="0" fillId="0" fontId="4" numFmtId="0" xfId="0" applyFont="1"/>
    <xf borderId="4" fillId="3" fontId="1" numFmtId="0" xfId="0" applyAlignment="1" applyBorder="1" applyFill="1" applyFont="1">
      <alignment shrinkToFit="0" vertical="top" wrapText="1"/>
    </xf>
    <xf borderId="5" fillId="3" fontId="1" numFmtId="0" xfId="0" applyAlignment="1" applyBorder="1" applyFont="1">
      <alignment shrinkToFit="0" vertical="top" wrapText="1"/>
    </xf>
    <xf borderId="5" fillId="3" fontId="1" numFmtId="0" xfId="0" applyAlignment="1" applyBorder="1" applyFont="1">
      <alignment shrinkToFit="0" vertical="top" wrapText="1"/>
    </xf>
    <xf borderId="5" fillId="3" fontId="1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5" fillId="0" fontId="3" numFmtId="3" xfId="0" applyAlignment="1" applyBorder="1" applyFont="1" applyNumberFormat="1">
      <alignment readingOrder="0" shrinkToFit="0" wrapText="1"/>
    </xf>
    <xf borderId="4" fillId="0" fontId="3" numFmtId="3" xfId="0" applyAlignment="1" applyBorder="1" applyFont="1" applyNumberFormat="1">
      <alignment shrinkToFit="0" wrapText="1"/>
    </xf>
    <xf borderId="7" fillId="0" fontId="5" numFmtId="0" xfId="0" applyAlignment="1" applyBorder="1" applyFont="1">
      <alignment horizontal="right" readingOrder="0" vertical="bottom"/>
    </xf>
    <xf borderId="8" fillId="0" fontId="5" numFmtId="0" xfId="0" applyAlignment="1" applyBorder="1" applyFont="1">
      <alignment horizontal="right" readingOrder="0" vertical="bottom"/>
    </xf>
    <xf borderId="9" fillId="0" fontId="5" numFmtId="0" xfId="0" applyAlignment="1" applyBorder="1" applyFont="1">
      <alignment vertical="bottom"/>
    </xf>
    <xf borderId="6" fillId="0" fontId="3" numFmtId="0" xfId="0" applyAlignment="1" applyBorder="1" applyFont="1">
      <alignment readingOrder="0"/>
    </xf>
    <xf borderId="5" fillId="0" fontId="3" numFmtId="3" xfId="0" applyAlignment="1" applyBorder="1" applyFont="1" applyNumberFormat="1">
      <alignment readingOrder="0"/>
    </xf>
    <xf borderId="7" fillId="3" fontId="1" numFmtId="0" xfId="0" applyAlignment="1" applyBorder="1" applyFont="1">
      <alignment shrinkToFit="0" vertical="top" wrapText="1"/>
    </xf>
    <xf borderId="8" fillId="3" fontId="1" numFmtId="0" xfId="0" applyAlignment="1" applyBorder="1" applyFont="1">
      <alignment shrinkToFit="0" vertical="top" wrapText="1"/>
    </xf>
    <xf borderId="8" fillId="3" fontId="1" numFmtId="0" xfId="0" applyAlignment="1" applyBorder="1" applyFont="1">
      <alignment shrinkToFit="0" vertical="top" wrapText="1"/>
    </xf>
    <xf borderId="8" fillId="3" fontId="1" numFmtId="0" xfId="0" applyAlignment="1" applyBorder="1" applyFont="1">
      <alignment shrinkToFit="0" vertical="bottom" wrapText="1"/>
    </xf>
    <xf borderId="0" fillId="0" fontId="3" numFmtId="0" xfId="0" applyAlignment="1" applyFont="1">
      <alignment readingOrder="0"/>
    </xf>
    <xf borderId="8" fillId="0" fontId="5" numFmtId="0" xfId="0" applyAlignment="1" applyBorder="1" applyFont="1">
      <alignment vertical="bottom"/>
    </xf>
    <xf borderId="7" fillId="3" fontId="1" numFmtId="0" xfId="0" applyAlignment="1" applyBorder="1" applyFont="1">
      <alignment shrinkToFit="0" vertical="bottom" wrapText="1"/>
    </xf>
    <xf borderId="8" fillId="3" fontId="1" numFmtId="0" xfId="0" applyAlignment="1" applyBorder="1" applyFont="1">
      <alignment shrinkToFit="0" vertical="bottom" wrapText="1"/>
    </xf>
    <xf borderId="10" fillId="0" fontId="6" numFmtId="1" xfId="0" applyAlignment="1" applyBorder="1" applyFont="1" applyNumberFormat="1">
      <alignment horizontal="right" readingOrder="0" vertical="bottom"/>
    </xf>
    <xf borderId="11" fillId="0" fontId="7" numFmtId="0" xfId="0" applyAlignment="1" applyBorder="1" applyFont="1">
      <alignment vertical="bottom"/>
    </xf>
    <xf borderId="12" fillId="4" fontId="8" numFmtId="0" xfId="0" applyAlignment="1" applyBorder="1" applyFill="1" applyFont="1">
      <alignment horizontal="center" vertical="bottom"/>
    </xf>
    <xf borderId="11" fillId="0" fontId="2" numFmtId="0" xfId="0" applyBorder="1" applyFont="1"/>
    <xf borderId="13" fillId="0" fontId="2" numFmtId="0" xfId="0" applyBorder="1" applyFont="1"/>
    <xf borderId="13" fillId="0" fontId="9" numFmtId="0" xfId="0" applyAlignment="1" applyBorder="1" applyFont="1">
      <alignment vertical="bottom"/>
    </xf>
    <xf borderId="14" fillId="0" fontId="7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3" fillId="0" fontId="7" numFmtId="0" xfId="0" applyAlignment="1" applyBorder="1" applyFont="1">
      <alignment vertical="bottom"/>
    </xf>
    <xf borderId="15" fillId="0" fontId="10" numFmtId="0" xfId="0" applyAlignment="1" applyBorder="1" applyFont="1">
      <alignment vertical="bottom"/>
    </xf>
    <xf borderId="16" fillId="0" fontId="2" numFmtId="0" xfId="0" applyBorder="1" applyFont="1"/>
    <xf borderId="17" fillId="0" fontId="2" numFmtId="0" xfId="0" applyBorder="1" applyFont="1"/>
    <xf borderId="8" fillId="0" fontId="11" numFmtId="0" xfId="0" applyAlignment="1" applyBorder="1" applyFont="1">
      <alignment vertical="bottom"/>
    </xf>
    <xf borderId="8" fillId="0" fontId="11" numFmtId="3" xfId="0" applyAlignment="1" applyBorder="1" applyFont="1" applyNumberFormat="1">
      <alignment horizontal="right" vertical="bottom"/>
    </xf>
    <xf borderId="10" fillId="0" fontId="11" numFmtId="164" xfId="0" applyAlignment="1" applyBorder="1" applyFont="1" applyNumberFormat="1">
      <alignment vertical="bottom"/>
    </xf>
    <xf borderId="0" fillId="0" fontId="9" numFmtId="10" xfId="0" applyAlignment="1" applyFont="1" applyNumberFormat="1">
      <alignment horizontal="right" vertical="bottom"/>
    </xf>
    <xf borderId="14" fillId="0" fontId="9" numFmtId="0" xfId="0" applyAlignment="1" applyBorder="1" applyFont="1">
      <alignment vertical="bottom"/>
    </xf>
    <xf borderId="18" fillId="0" fontId="7" numFmtId="0" xfId="0" applyAlignment="1" applyBorder="1" applyFont="1">
      <alignment vertical="bottom"/>
    </xf>
    <xf borderId="19" fillId="0" fontId="10" numFmtId="0" xfId="0" applyAlignment="1" applyBorder="1" applyFont="1">
      <alignment vertical="bottom"/>
    </xf>
    <xf borderId="14" fillId="0" fontId="10" numFmtId="0" xfId="0" applyAlignment="1" applyBorder="1" applyFont="1">
      <alignment vertical="bottom"/>
    </xf>
    <xf borderId="8" fillId="0" fontId="11" numFmtId="0" xfId="0" applyAlignment="1" applyBorder="1" applyFont="1">
      <alignment horizontal="right" readingOrder="0" vertical="bottom"/>
    </xf>
    <xf borderId="0" fillId="0" fontId="11" numFmtId="1" xfId="0" applyAlignment="1" applyFont="1" applyNumberFormat="1">
      <alignment horizontal="right" vertical="bottom"/>
    </xf>
    <xf borderId="14" fillId="0" fontId="11" numFmtId="0" xfId="0" applyAlignment="1" applyBorder="1" applyFont="1">
      <alignment vertical="bottom"/>
    </xf>
    <xf borderId="20" fillId="0" fontId="6" numFmtId="0" xfId="0" applyAlignment="1" applyBorder="1" applyFont="1">
      <alignment vertical="bottom"/>
    </xf>
    <xf borderId="21" fillId="0" fontId="6" numFmtId="3" xfId="0" applyAlignment="1" applyBorder="1" applyFont="1" applyNumberFormat="1">
      <alignment horizontal="right" readingOrder="0" vertical="bottom"/>
    </xf>
    <xf borderId="17" fillId="0" fontId="6" numFmtId="1" xfId="0" applyAlignment="1" applyBorder="1" applyFont="1" applyNumberFormat="1">
      <alignment horizontal="right" vertical="bottom"/>
    </xf>
    <xf borderId="0" fillId="5" fontId="9" numFmtId="1" xfId="0" applyAlignment="1" applyFill="1" applyFont="1" applyNumberFormat="1">
      <alignment horizontal="right" vertical="bottom"/>
    </xf>
    <xf borderId="14" fillId="5" fontId="9" numFmtId="0" xfId="0" applyAlignment="1" applyBorder="1" applyFont="1">
      <alignment vertical="bottom"/>
    </xf>
    <xf borderId="22" fillId="0" fontId="6" numFmtId="0" xfId="0" applyAlignment="1" applyBorder="1" applyFont="1">
      <alignment vertical="bottom"/>
    </xf>
    <xf borderId="8" fillId="0" fontId="6" numFmtId="3" xfId="0" applyAlignment="1" applyBorder="1" applyFont="1" applyNumberFormat="1">
      <alignment horizontal="right" readingOrder="0" vertical="bottom"/>
    </xf>
    <xf borderId="10" fillId="0" fontId="6" numFmtId="1" xfId="0" applyAlignment="1" applyBorder="1" applyFont="1" applyNumberFormat="1">
      <alignment horizontal="right" vertical="bottom"/>
    </xf>
    <xf borderId="22" fillId="0" fontId="6" numFmtId="0" xfId="0" applyAlignment="1" applyBorder="1" applyFont="1">
      <alignment vertical="bottom"/>
    </xf>
    <xf borderId="8" fillId="0" fontId="11" numFmtId="2" xfId="0" applyAlignment="1" applyBorder="1" applyFont="1" applyNumberFormat="1">
      <alignment horizontal="right" vertical="bottom"/>
    </xf>
    <xf borderId="11" fillId="5" fontId="9" numFmtId="1" xfId="0" applyAlignment="1" applyBorder="1" applyFont="1" applyNumberFormat="1">
      <alignment horizontal="right" vertical="bottom"/>
    </xf>
    <xf borderId="13" fillId="5" fontId="9" numFmtId="0" xfId="0" applyAlignment="1" applyBorder="1" applyFont="1">
      <alignment vertical="bottom"/>
    </xf>
    <xf borderId="5" fillId="0" fontId="6" numFmtId="3" xfId="0" applyAlignment="1" applyBorder="1" applyFont="1" applyNumberFormat="1">
      <alignment horizontal="right" readingOrder="0" vertical="bottom"/>
    </xf>
    <xf borderId="23" fillId="0" fontId="11" numFmtId="0" xfId="0" applyAlignment="1" applyBorder="1" applyFont="1">
      <alignment vertical="bottom"/>
    </xf>
    <xf borderId="23" fillId="0" fontId="11" numFmtId="2" xfId="0" applyAlignment="1" applyBorder="1" applyFont="1" applyNumberFormat="1">
      <alignment horizontal="right" vertical="bottom"/>
    </xf>
    <xf borderId="13" fillId="0" fontId="11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8" fillId="0" fontId="6" numFmtId="3" xfId="0" applyAlignment="1" applyBorder="1" applyFont="1" applyNumberFormat="1">
      <alignment horizontal="right" vertical="bottom"/>
    </xf>
    <xf borderId="0" fillId="0" fontId="7" numFmtId="164" xfId="0" applyAlignment="1" applyFont="1" applyNumberFormat="1">
      <alignment vertical="bottom"/>
    </xf>
    <xf borderId="18" fillId="0" fontId="6" numFmtId="0" xfId="0" applyAlignment="1" applyBorder="1" applyFont="1">
      <alignment readingOrder="0" vertical="bottom"/>
    </xf>
    <xf borderId="4" fillId="0" fontId="3" numFmtId="3" xfId="0" applyBorder="1" applyFont="1" applyNumberFormat="1"/>
    <xf borderId="0" fillId="0" fontId="11" numFmtId="3" xfId="0" applyAlignment="1" applyFont="1" applyNumberFormat="1">
      <alignment horizontal="right" vertical="bottom"/>
    </xf>
    <xf borderId="14" fillId="0" fontId="11" numFmtId="164" xfId="0" applyAlignment="1" applyBorder="1" applyFont="1" applyNumberFormat="1">
      <alignment vertical="bottom"/>
    </xf>
    <xf borderId="11" fillId="0" fontId="7" numFmtId="164" xfId="0" applyAlignment="1" applyBorder="1" applyFont="1" applyNumberFormat="1">
      <alignment vertical="bottom"/>
    </xf>
    <xf borderId="24" fillId="0" fontId="6" numFmtId="3" xfId="0" applyAlignment="1" applyBorder="1" applyFont="1" applyNumberFormat="1">
      <alignment horizontal="left" vertical="bottom"/>
    </xf>
    <xf borderId="25" fillId="0" fontId="6" numFmtId="3" xfId="0" applyAlignment="1" applyBorder="1" applyFont="1" applyNumberFormat="1">
      <alignment horizontal="left" vertical="bottom"/>
    </xf>
    <xf borderId="26" fillId="0" fontId="6" numFmtId="3" xfId="0" applyAlignment="1" applyBorder="1" applyFont="1" applyNumberFormat="1">
      <alignment horizontal="left" vertical="bottom"/>
    </xf>
    <xf borderId="8" fillId="0" fontId="11" numFmtId="0" xfId="0" applyAlignment="1" applyBorder="1" applyFont="1">
      <alignment vertical="bottom"/>
    </xf>
    <xf borderId="8" fillId="0" fontId="11" numFmtId="0" xfId="0" applyAlignment="1" applyBorder="1" applyFont="1">
      <alignment horizontal="right" vertical="bottom"/>
    </xf>
    <xf borderId="0" fillId="0" fontId="7" numFmtId="1" xfId="0" applyAlignment="1" applyFont="1" applyNumberFormat="1">
      <alignment horizontal="right" vertical="bottom"/>
    </xf>
    <xf borderId="14" fillId="0" fontId="7" numFmtId="0" xfId="0" applyAlignment="1" applyBorder="1" applyFont="1">
      <alignment vertical="bottom"/>
    </xf>
    <xf borderId="27" fillId="0" fontId="6" numFmtId="3" xfId="0" applyAlignment="1" applyBorder="1" applyFont="1" applyNumberFormat="1">
      <alignment horizontal="left" vertical="bottom"/>
    </xf>
    <xf borderId="28" fillId="0" fontId="6" numFmtId="3" xfId="0" applyAlignment="1" applyBorder="1" applyFont="1" applyNumberFormat="1">
      <alignment horizontal="left" readingOrder="0" vertical="bottom"/>
    </xf>
    <xf borderId="29" fillId="0" fontId="6" numFmtId="3" xfId="0" applyAlignment="1" applyBorder="1" applyFont="1" applyNumberFormat="1">
      <alignment horizontal="left" vertical="bottom"/>
    </xf>
    <xf borderId="0" fillId="0" fontId="11" numFmtId="0" xfId="0" applyAlignment="1" applyFont="1">
      <alignment horizontal="right" vertical="bottom"/>
    </xf>
    <xf borderId="8" fillId="0" fontId="11" numFmtId="0" xfId="0" applyAlignment="1" applyBorder="1" applyFont="1">
      <alignment shrinkToFit="0" vertical="bottom" wrapText="1"/>
    </xf>
    <xf borderId="23" fillId="0" fontId="7" numFmtId="3" xfId="0" applyAlignment="1" applyBorder="1" applyFont="1" applyNumberFormat="1">
      <alignment vertical="bottom"/>
    </xf>
    <xf borderId="13" fillId="0" fontId="7" numFmtId="164" xfId="0" applyAlignment="1" applyBorder="1" applyFont="1" applyNumberFormat="1">
      <alignment vertical="bottom"/>
    </xf>
    <xf borderId="30" fillId="0" fontId="9" numFmtId="0" xfId="0" applyAlignment="1" applyBorder="1" applyFont="1">
      <alignment vertical="bottom"/>
    </xf>
    <xf borderId="0" fillId="0" fontId="7" numFmtId="3" xfId="0" applyAlignment="1" applyFont="1" applyNumberFormat="1">
      <alignment horizontal="right" vertical="bottom"/>
    </xf>
    <xf borderId="14" fillId="0" fontId="11" numFmtId="0" xfId="0" applyAlignment="1" applyBorder="1" applyFont="1">
      <alignment vertical="bottom"/>
    </xf>
    <xf borderId="22" fillId="0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22" fillId="0" fontId="11" numFmtId="0" xfId="0" applyAlignment="1" applyBorder="1" applyFont="1">
      <alignment vertical="bottom"/>
    </xf>
    <xf borderId="8" fillId="0" fontId="11" numFmtId="1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4" fillId="5" fontId="9" numFmtId="0" xfId="0" applyAlignment="1" applyBorder="1" applyFont="1">
      <alignment vertical="bottom"/>
    </xf>
    <xf borderId="31" fillId="0" fontId="11" numFmtId="0" xfId="0" applyAlignment="1" applyBorder="1" applyFont="1">
      <alignment vertical="bottom"/>
    </xf>
    <xf borderId="23" fillId="0" fontId="11" numFmtId="3" xfId="0" applyAlignment="1" applyBorder="1" applyFont="1" applyNumberFormat="1">
      <alignment horizontal="right" vertical="bottom"/>
    </xf>
    <xf borderId="13" fillId="0" fontId="11" numFmtId="164" xfId="0" applyAlignment="1" applyBorder="1" applyFont="1" applyNumberFormat="1">
      <alignment readingOrder="0" vertical="bottom"/>
    </xf>
    <xf borderId="13" fillId="5" fontId="9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  <xf borderId="19" fillId="0" fontId="7" numFmtId="0" xfId="0" applyAlignment="1" applyBorder="1" applyFont="1">
      <alignment vertical="bottom"/>
    </xf>
    <xf borderId="9" fillId="0" fontId="12" numFmtId="0" xfId="0" applyAlignment="1" applyBorder="1" applyFont="1">
      <alignment vertical="bottom"/>
    </xf>
    <xf borderId="8" fillId="0" fontId="7" numFmtId="0" xfId="0" applyAlignment="1" applyBorder="1" applyFont="1">
      <alignment vertical="bottom"/>
    </xf>
    <xf borderId="0" fillId="5" fontId="13" numFmtId="1" xfId="0" applyAlignment="1" applyFont="1" applyNumberFormat="1">
      <alignment vertical="bottom"/>
    </xf>
    <xf borderId="19" fillId="0" fontId="14" numFmtId="3" xfId="0" applyAlignment="1" applyBorder="1" applyFont="1" applyNumberFormat="1">
      <alignment horizontal="right" vertical="bottom"/>
    </xf>
    <xf borderId="9" fillId="5" fontId="13" numFmtId="1" xfId="0" applyAlignment="1" applyBorder="1" applyFont="1" applyNumberFormat="1">
      <alignment vertical="bottom"/>
    </xf>
    <xf borderId="8" fillId="0" fontId="14" numFmtId="3" xfId="0" applyAlignment="1" applyBorder="1" applyFont="1" applyNumberFormat="1">
      <alignment horizontal="right" vertical="bottom"/>
    </xf>
    <xf borderId="32" fillId="0" fontId="12" numFmtId="0" xfId="0" applyAlignment="1" applyBorder="1" applyFont="1">
      <alignment horizontal="center" readingOrder="0" shrinkToFit="0" vertical="bottom" wrapText="1"/>
    </xf>
    <xf borderId="5" fillId="0" fontId="2" numFmtId="0" xfId="0" applyBorder="1" applyFont="1"/>
    <xf borderId="33" fillId="0" fontId="10" numFmtId="0" xfId="0" applyAlignment="1" applyBorder="1" applyFont="1">
      <alignment vertical="bottom"/>
    </xf>
    <xf borderId="34" fillId="0" fontId="2" numFmtId="0" xfId="0" applyBorder="1" applyFont="1"/>
    <xf borderId="35" fillId="0" fontId="2" numFmtId="0" xfId="0" applyBorder="1" applyFont="1"/>
    <xf borderId="36" fillId="0" fontId="7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37" fillId="0" fontId="10" numFmtId="0" xfId="0" applyAlignment="1" applyBorder="1" applyFont="1">
      <alignment vertical="bottom"/>
    </xf>
    <xf borderId="36" fillId="0" fontId="6" numFmtId="0" xfId="0" applyAlignment="1" applyBorder="1" applyFont="1">
      <alignment vertical="bottom"/>
    </xf>
    <xf borderId="4" fillId="0" fontId="6" numFmtId="3" xfId="0" applyAlignment="1" applyBorder="1" applyFont="1" applyNumberFormat="1">
      <alignment readingOrder="0" vertical="bottom"/>
    </xf>
    <xf borderId="37" fillId="0" fontId="6" numFmtId="1" xfId="0" applyAlignment="1" applyBorder="1" applyFont="1" applyNumberFormat="1">
      <alignment vertical="bottom"/>
    </xf>
    <xf borderId="36" fillId="0" fontId="6" numFmtId="0" xfId="0" applyAlignment="1" applyBorder="1" applyFont="1">
      <alignment readingOrder="0" vertical="bottom"/>
    </xf>
    <xf borderId="38" fillId="0" fontId="6" numFmtId="0" xfId="0" applyAlignment="1" applyBorder="1" applyFont="1">
      <alignment vertical="bottom"/>
    </xf>
    <xf borderId="39" fillId="0" fontId="6" numFmtId="3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1943100</xdr:colOff>
      <xdr:row>2</xdr:row>
      <xdr:rowOff>304800</xdr:rowOff>
    </xdr:from>
    <xdr:ext cx="2200275" cy="371475"/>
    <xdr:sp>
      <xdr:nvSpPr>
        <xdr:cNvPr id="3" name="Shape 3"/>
        <xdr:cNvSpPr/>
      </xdr:nvSpPr>
      <xdr:spPr>
        <a:xfrm>
          <a:off x="3322100" y="3074425"/>
          <a:ext cx="3863700" cy="624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8E7CC3">
                <a:alpha val="57254"/>
              </a:srgbClr>
            </a:gs>
            <a:gs pos="100000">
              <a:srgbClr val="AEF4C1"/>
            </a:gs>
          </a:gsLst>
          <a:lin ang="0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1200150</xdr:colOff>
      <xdr:row>35</xdr:row>
      <xdr:rowOff>161925</xdr:rowOff>
    </xdr:from>
    <xdr:ext cx="2038350" cy="1133475"/>
    <xdr:sp>
      <xdr:nvSpPr>
        <xdr:cNvPr id="4" name="Shape 4"/>
        <xdr:cNvSpPr/>
      </xdr:nvSpPr>
      <xdr:spPr>
        <a:xfrm>
          <a:off x="3063475" y="1246075"/>
          <a:ext cx="2791400" cy="1546325"/>
        </a:xfrm>
        <a:custGeom>
          <a:rect b="b" l="l" r="r" t="t"/>
          <a:pathLst>
            <a:path extrusionOk="0" h="61853" w="111656">
              <a:moveTo>
                <a:pt x="0" y="0"/>
              </a:moveTo>
              <a:lnTo>
                <a:pt x="111656" y="0"/>
              </a:lnTo>
              <a:lnTo>
                <a:pt x="54623" y="61853"/>
              </a:lnTo>
              <a:close/>
            </a:path>
          </a:pathLst>
        </a:custGeom>
        <a:solidFill>
          <a:srgbClr val="6FC884"/>
        </a:solidFill>
        <a:ln>
          <a:noFill/>
        </a:ln>
      </xdr:spPr>
    </xdr:sp>
    <xdr:clientData fLocksWithSheet="0"/>
  </xdr:oneCellAnchor>
  <xdr:oneCellAnchor>
    <xdr:from>
      <xdr:col>7</xdr:col>
      <xdr:colOff>47625</xdr:colOff>
      <xdr:row>34</xdr:row>
      <xdr:rowOff>47625</xdr:rowOff>
    </xdr:from>
    <xdr:ext cx="9658350" cy="33623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23</xdr:row>
      <xdr:rowOff>438150</xdr:rowOff>
    </xdr:from>
    <xdr:ext cx="9705975" cy="32194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381000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142875</xdr:colOff>
      <xdr:row>1</xdr:row>
      <xdr:rowOff>47625</xdr:rowOff>
    </xdr:from>
    <xdr:ext cx="6381750" cy="73152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1.25"/>
    <col customWidth="1" min="3" max="3" width="19.38"/>
    <col customWidth="1" min="4" max="4" width="19.25"/>
    <col customWidth="1" min="5" max="5" width="29.13"/>
    <col customWidth="1" min="6" max="6" width="29.38"/>
    <col customWidth="1" min="7" max="7" width="4.0"/>
    <col customWidth="1" min="8" max="8" width="27.75"/>
    <col customWidth="1" min="9" max="9" width="14.25"/>
    <col customWidth="1" min="10" max="10" width="15.75"/>
    <col customWidth="1" min="13" max="13" width="25.75"/>
    <col customWidth="1" min="16" max="16" width="19.25"/>
    <col customWidth="1" min="17" max="17" width="14.13"/>
  </cols>
  <sheetData>
    <row r="1">
      <c r="A1" s="1" t="s">
        <v>0</v>
      </c>
      <c r="B1" s="2"/>
      <c r="C1" s="2"/>
      <c r="D1" s="2"/>
      <c r="E1" s="2"/>
      <c r="F1" s="3"/>
      <c r="H1" s="4"/>
      <c r="J1" s="4"/>
      <c r="R1" s="5"/>
    </row>
    <row r="2">
      <c r="A2" s="6"/>
      <c r="B2" s="6"/>
      <c r="C2" s="6"/>
      <c r="D2" s="6"/>
      <c r="E2" s="6"/>
      <c r="F2" s="6"/>
      <c r="R2" s="5"/>
    </row>
    <row r="3">
      <c r="A3" s="7" t="s">
        <v>1</v>
      </c>
      <c r="B3" s="8" t="s">
        <v>2</v>
      </c>
      <c r="C3" s="9" t="s">
        <v>3</v>
      </c>
      <c r="D3" s="9" t="s">
        <v>4</v>
      </c>
      <c r="E3" s="10" t="s">
        <v>5</v>
      </c>
      <c r="F3" s="11"/>
      <c r="G3" s="12"/>
      <c r="M3" s="12"/>
      <c r="N3" s="12"/>
      <c r="O3" s="12"/>
      <c r="P3" s="13" t="s">
        <v>6</v>
      </c>
      <c r="Q3" s="14">
        <v>3130.0</v>
      </c>
      <c r="R3" s="15">
        <f t="shared" ref="R3:R18" si="1">Q3/7</f>
        <v>447.1428571</v>
      </c>
      <c r="S3" s="12"/>
      <c r="T3" s="12"/>
    </row>
    <row r="4">
      <c r="A4" s="16">
        <v>411.0</v>
      </c>
      <c r="B4" s="17">
        <v>40028.0</v>
      </c>
      <c r="C4" s="17">
        <v>2180.0</v>
      </c>
      <c r="D4" s="17">
        <v>0.0</v>
      </c>
      <c r="E4" s="17">
        <v>5066.0</v>
      </c>
      <c r="F4" s="18"/>
      <c r="P4" s="19" t="s">
        <v>7</v>
      </c>
      <c r="Q4" s="20">
        <v>4468.0</v>
      </c>
      <c r="R4" s="15">
        <f t="shared" si="1"/>
        <v>638.2857143</v>
      </c>
    </row>
    <row r="5">
      <c r="A5" s="21" t="s">
        <v>8</v>
      </c>
      <c r="B5" s="22" t="s">
        <v>9</v>
      </c>
      <c r="C5" s="22" t="s">
        <v>10</v>
      </c>
      <c r="D5" s="22" t="s">
        <v>11</v>
      </c>
      <c r="E5" s="23" t="s">
        <v>12</v>
      </c>
      <c r="F5" s="24" t="s">
        <v>13</v>
      </c>
      <c r="G5" s="12"/>
      <c r="M5" s="12"/>
      <c r="N5" s="12"/>
      <c r="O5" s="12"/>
      <c r="P5" s="19" t="s">
        <v>7</v>
      </c>
      <c r="Q5" s="14">
        <v>74360.0</v>
      </c>
      <c r="R5" s="15">
        <f t="shared" si="1"/>
        <v>10622.85714</v>
      </c>
      <c r="S5" s="12"/>
      <c r="T5" s="12"/>
    </row>
    <row r="6">
      <c r="A6" s="16">
        <v>11.0</v>
      </c>
      <c r="B6" s="25">
        <v>0.337</v>
      </c>
      <c r="C6" s="17">
        <v>7390.0</v>
      </c>
      <c r="D6" s="26"/>
      <c r="E6" s="17">
        <v>2410.0</v>
      </c>
      <c r="F6" s="17"/>
      <c r="P6" s="19" t="s">
        <v>14</v>
      </c>
      <c r="Q6" s="14">
        <v>147734.0</v>
      </c>
      <c r="R6" s="15">
        <f t="shared" si="1"/>
        <v>21104.85714</v>
      </c>
    </row>
    <row r="7">
      <c r="A7" s="27" t="s">
        <v>15</v>
      </c>
      <c r="B7" s="28" t="s">
        <v>16</v>
      </c>
      <c r="C7" s="24" t="s">
        <v>17</v>
      </c>
      <c r="D7" s="24" t="s">
        <v>18</v>
      </c>
      <c r="E7" s="24" t="s">
        <v>19</v>
      </c>
      <c r="F7" s="24" t="s">
        <v>20</v>
      </c>
      <c r="G7" s="12"/>
      <c r="M7" s="12"/>
      <c r="N7" s="12"/>
      <c r="O7" s="12"/>
      <c r="P7" s="13" t="s">
        <v>2</v>
      </c>
      <c r="Q7" s="20">
        <v>2395069.0</v>
      </c>
      <c r="R7" s="15">
        <f t="shared" si="1"/>
        <v>342152.7143</v>
      </c>
      <c r="S7" s="12"/>
      <c r="T7" s="12"/>
    </row>
    <row r="8">
      <c r="A8" s="16">
        <v>0.0</v>
      </c>
      <c r="B8" s="17">
        <v>20.0</v>
      </c>
      <c r="C8" s="29">
        <v>5332.0</v>
      </c>
      <c r="D8" s="17">
        <v>0.0</v>
      </c>
      <c r="E8" s="17">
        <v>11261.0</v>
      </c>
      <c r="F8" s="17">
        <v>619000.0</v>
      </c>
      <c r="P8" s="19" t="s">
        <v>21</v>
      </c>
      <c r="Q8" s="14">
        <v>36.0</v>
      </c>
      <c r="R8" s="15">
        <f t="shared" si="1"/>
        <v>5.142857143</v>
      </c>
    </row>
    <row r="9">
      <c r="A9" s="30"/>
      <c r="B9" s="30"/>
      <c r="C9" s="30"/>
      <c r="D9" s="30"/>
      <c r="E9" s="30"/>
      <c r="F9" s="30"/>
      <c r="P9" s="19" t="s">
        <v>22</v>
      </c>
      <c r="Q9" s="20">
        <v>3705.0</v>
      </c>
      <c r="R9" s="15">
        <f t="shared" si="1"/>
        <v>529.2857143</v>
      </c>
    </row>
    <row r="10">
      <c r="A10" s="31" t="s">
        <v>23</v>
      </c>
      <c r="B10" s="32"/>
      <c r="C10" s="32"/>
      <c r="D10" s="32"/>
      <c r="E10" s="32"/>
      <c r="F10" s="33"/>
      <c r="P10" s="19" t="s">
        <v>24</v>
      </c>
      <c r="Q10" s="20">
        <v>4745.0</v>
      </c>
      <c r="R10" s="15">
        <f t="shared" si="1"/>
        <v>677.8571429</v>
      </c>
    </row>
    <row r="11">
      <c r="A11" s="34" t="s">
        <v>25</v>
      </c>
      <c r="B11" s="30"/>
      <c r="C11" s="30"/>
      <c r="D11" s="35"/>
      <c r="E11" s="36" t="s">
        <v>25</v>
      </c>
      <c r="F11" s="37"/>
      <c r="H11" s="38"/>
      <c r="I11" s="39"/>
      <c r="J11" s="40"/>
      <c r="P11" s="19" t="s">
        <v>26</v>
      </c>
      <c r="Q11" s="20">
        <v>2.477290837E9</v>
      </c>
      <c r="R11" s="15">
        <f t="shared" si="1"/>
        <v>353898691</v>
      </c>
    </row>
    <row r="12">
      <c r="A12" s="41" t="s">
        <v>27</v>
      </c>
      <c r="B12" s="42">
        <f>C6+E6</f>
        <v>9800</v>
      </c>
      <c r="C12" s="43" t="s">
        <v>28</v>
      </c>
      <c r="D12" s="35"/>
      <c r="E12" s="44">
        <f>B16/B12</f>
        <v>0.2121438785</v>
      </c>
      <c r="F12" s="45" t="s">
        <v>29</v>
      </c>
      <c r="H12" s="46"/>
      <c r="I12" s="47" t="s">
        <v>30</v>
      </c>
      <c r="J12" s="48" t="s">
        <v>31</v>
      </c>
      <c r="P12" s="19" t="s">
        <v>32</v>
      </c>
      <c r="Q12" s="20">
        <v>16438.0</v>
      </c>
      <c r="R12" s="15">
        <f t="shared" si="1"/>
        <v>2348.285714</v>
      </c>
    </row>
    <row r="13">
      <c r="A13" s="41" t="s">
        <v>33</v>
      </c>
      <c r="B13" s="49">
        <v>1.0</v>
      </c>
      <c r="C13" s="43" t="s">
        <v>34</v>
      </c>
      <c r="D13" s="35"/>
      <c r="E13" s="50">
        <f>B12/30</f>
        <v>326.6666667</v>
      </c>
      <c r="F13" s="51" t="s">
        <v>35</v>
      </c>
      <c r="H13" s="52" t="s">
        <v>1</v>
      </c>
      <c r="I13" s="53">
        <v>269000.0</v>
      </c>
      <c r="J13" s="54">
        <f t="shared" ref="J13:J18" si="2">(I13/30/24)*1.1</f>
        <v>410.9722222</v>
      </c>
      <c r="P13" s="19" t="s">
        <v>36</v>
      </c>
      <c r="Q13" s="20">
        <v>4.349881668E9</v>
      </c>
      <c r="R13" s="15">
        <f t="shared" si="1"/>
        <v>621411666.9</v>
      </c>
    </row>
    <row r="14">
      <c r="A14" s="41" t="s">
        <v>37</v>
      </c>
      <c r="B14" s="42">
        <f>(C4+D4+D6)*1000000</f>
        <v>2180000000</v>
      </c>
      <c r="C14" s="43" t="s">
        <v>38</v>
      </c>
      <c r="D14" s="35"/>
      <c r="E14" s="55">
        <f>E13*0.5</f>
        <v>163.3333333</v>
      </c>
      <c r="F14" s="56" t="s">
        <v>39</v>
      </c>
      <c r="H14" s="57" t="s">
        <v>17</v>
      </c>
      <c r="I14" s="58">
        <v>3490000.0</v>
      </c>
      <c r="J14" s="59">
        <f t="shared" si="2"/>
        <v>5331.944444</v>
      </c>
      <c r="P14" s="19" t="s">
        <v>40</v>
      </c>
      <c r="Q14" s="20">
        <v>2.05235775119E11</v>
      </c>
      <c r="R14" s="15">
        <f t="shared" si="1"/>
        <v>29319396446</v>
      </c>
    </row>
    <row r="15">
      <c r="A15" s="41" t="s">
        <v>41</v>
      </c>
      <c r="B15" s="42">
        <f>(B14*B13)*1024</f>
        <v>2232320000000</v>
      </c>
      <c r="C15" s="43" t="s">
        <v>42</v>
      </c>
      <c r="D15" s="35"/>
      <c r="E15" s="55">
        <f>E13*0.4</f>
        <v>130.6666667</v>
      </c>
      <c r="F15" s="56" t="s">
        <v>43</v>
      </c>
      <c r="H15" s="60" t="s">
        <v>18</v>
      </c>
      <c r="I15" s="58">
        <v>0.0</v>
      </c>
      <c r="J15" s="59">
        <f t="shared" si="2"/>
        <v>0</v>
      </c>
      <c r="P15" s="19" t="s">
        <v>44</v>
      </c>
      <c r="Q15" s="20">
        <v>549417.0</v>
      </c>
      <c r="R15" s="15">
        <f t="shared" si="1"/>
        <v>78488.14286</v>
      </c>
    </row>
    <row r="16">
      <c r="A16" s="41" t="s">
        <v>45</v>
      </c>
      <c r="B16" s="61">
        <f>B15/POW(1024,3)</f>
        <v>2079.01001</v>
      </c>
      <c r="C16" s="43" t="s">
        <v>28</v>
      </c>
      <c r="D16" s="35"/>
      <c r="E16" s="62">
        <f>E13*0.1</f>
        <v>32.66666667</v>
      </c>
      <c r="F16" s="63" t="s">
        <v>46</v>
      </c>
      <c r="H16" s="57" t="s">
        <v>15</v>
      </c>
      <c r="I16" s="64">
        <v>1.0</v>
      </c>
      <c r="J16" s="59">
        <f t="shared" si="2"/>
        <v>0.001527777778</v>
      </c>
      <c r="P16" s="19" t="s">
        <v>47</v>
      </c>
      <c r="Q16" s="20">
        <v>543.0</v>
      </c>
      <c r="R16" s="15">
        <f t="shared" si="1"/>
        <v>77.57142857</v>
      </c>
    </row>
    <row r="17">
      <c r="A17" s="65" t="s">
        <v>48</v>
      </c>
      <c r="B17" s="66">
        <f>B16/30</f>
        <v>69.30033366</v>
      </c>
      <c r="C17" s="67" t="s">
        <v>49</v>
      </c>
      <c r="D17" s="68"/>
      <c r="E17" s="30"/>
      <c r="F17" s="30"/>
      <c r="H17" s="60" t="s">
        <v>16</v>
      </c>
      <c r="I17" s="69">
        <v>0.0</v>
      </c>
      <c r="J17" s="59">
        <f t="shared" si="2"/>
        <v>0</v>
      </c>
      <c r="P17" s="19" t="s">
        <v>50</v>
      </c>
      <c r="Q17" s="20">
        <v>17.0</v>
      </c>
      <c r="R17" s="15">
        <f t="shared" si="1"/>
        <v>2.428571429</v>
      </c>
    </row>
    <row r="18">
      <c r="A18" s="30"/>
      <c r="B18" s="68"/>
      <c r="C18" s="70"/>
      <c r="D18" s="35"/>
      <c r="E18" s="36" t="s">
        <v>51</v>
      </c>
      <c r="F18" s="37"/>
      <c r="H18" s="71" t="s">
        <v>52</v>
      </c>
      <c r="I18" s="53">
        <v>2.62E7</v>
      </c>
      <c r="J18" s="54">
        <f t="shared" si="2"/>
        <v>40027.77778</v>
      </c>
      <c r="P18" s="19" t="s">
        <v>16</v>
      </c>
      <c r="Q18" s="20">
        <v>140.0</v>
      </c>
      <c r="R18" s="72">
        <f t="shared" si="1"/>
        <v>20</v>
      </c>
    </row>
    <row r="19">
      <c r="A19" s="36"/>
      <c r="B19" s="68"/>
      <c r="C19" s="70"/>
      <c r="D19" s="35"/>
      <c r="E19" s="73"/>
      <c r="F19" s="74"/>
      <c r="H19" s="38"/>
      <c r="I19" s="39"/>
      <c r="J19" s="40"/>
      <c r="P19" s="19"/>
      <c r="Q19" s="20"/>
      <c r="R19" s="15"/>
    </row>
    <row r="20">
      <c r="A20" s="34" t="s">
        <v>51</v>
      </c>
      <c r="B20" s="30"/>
      <c r="C20" s="75"/>
      <c r="D20" s="35"/>
      <c r="E20" s="73">
        <f>sum(B23:B25)</f>
        <v>468612278</v>
      </c>
      <c r="F20" s="74" t="s">
        <v>53</v>
      </c>
      <c r="H20" s="76"/>
      <c r="I20" s="77" t="s">
        <v>54</v>
      </c>
      <c r="J20" s="78" t="s">
        <v>55</v>
      </c>
      <c r="P20" s="19" t="s">
        <v>56</v>
      </c>
      <c r="Q20" s="20">
        <v>2004975.0</v>
      </c>
      <c r="R20" s="15">
        <f t="shared" ref="R20:R24" si="3">Q20/7</f>
        <v>286425</v>
      </c>
    </row>
    <row r="21">
      <c r="A21" s="79" t="s">
        <v>31</v>
      </c>
      <c r="B21" s="80">
        <f>A4+A8+B8+F8+F6</f>
        <v>619431</v>
      </c>
      <c r="C21" s="43"/>
      <c r="D21" s="35"/>
      <c r="E21" s="81">
        <f>E20/1000</f>
        <v>468612.278</v>
      </c>
      <c r="F21" s="82" t="s">
        <v>57</v>
      </c>
      <c r="H21" s="83" t="s">
        <v>56</v>
      </c>
      <c r="I21" s="84">
        <v>154000.0</v>
      </c>
      <c r="J21" s="85">
        <f>I21/30.4</f>
        <v>5065.789474</v>
      </c>
      <c r="P21" s="19" t="s">
        <v>58</v>
      </c>
      <c r="Q21" s="20">
        <v>414.0</v>
      </c>
      <c r="R21" s="15">
        <f t="shared" si="3"/>
        <v>59.14285714</v>
      </c>
    </row>
    <row r="22">
      <c r="A22" s="41" t="s">
        <v>17</v>
      </c>
      <c r="B22" s="42">
        <f>C8+D8</f>
        <v>5332</v>
      </c>
      <c r="C22" s="43"/>
      <c r="D22" s="35"/>
      <c r="E22" s="86">
        <v>3.3E-5</v>
      </c>
      <c r="F22" s="51" t="s">
        <v>59</v>
      </c>
      <c r="P22" s="19" t="s">
        <v>60</v>
      </c>
      <c r="Q22" s="20">
        <v>13549.0</v>
      </c>
      <c r="R22" s="15">
        <f t="shared" si="3"/>
        <v>1935.571429</v>
      </c>
    </row>
    <row r="23">
      <c r="A23" s="41" t="s">
        <v>61</v>
      </c>
      <c r="B23" s="42">
        <f>(B22+B21)*750</f>
        <v>468572250</v>
      </c>
      <c r="C23" s="43" t="s">
        <v>53</v>
      </c>
      <c r="D23" s="35"/>
      <c r="E23" s="62">
        <f>E20*E22</f>
        <v>15464.20517</v>
      </c>
      <c r="F23" s="63" t="s">
        <v>62</v>
      </c>
      <c r="P23" s="19" t="s">
        <v>63</v>
      </c>
      <c r="Q23" s="20">
        <v>7.6419912E7</v>
      </c>
      <c r="R23" s="15">
        <f t="shared" si="3"/>
        <v>10917130.29</v>
      </c>
    </row>
    <row r="24">
      <c r="A24" s="87" t="s">
        <v>64</v>
      </c>
      <c r="B24" s="42">
        <f>B4</f>
        <v>40028</v>
      </c>
      <c r="C24" s="43" t="s">
        <v>53</v>
      </c>
      <c r="D24" s="68"/>
      <c r="E24" s="30"/>
      <c r="F24" s="30"/>
      <c r="P24" s="19" t="s">
        <v>65</v>
      </c>
      <c r="Q24" s="20">
        <v>406693.0</v>
      </c>
      <c r="R24" s="15">
        <f t="shared" si="3"/>
        <v>58099</v>
      </c>
    </row>
    <row r="25">
      <c r="A25" s="65" t="s">
        <v>66</v>
      </c>
      <c r="B25" s="88"/>
      <c r="C25" s="89" t="s">
        <v>67</v>
      </c>
      <c r="D25" s="35"/>
      <c r="E25" s="36" t="s">
        <v>68</v>
      </c>
      <c r="F25" s="37"/>
      <c r="R25" s="5"/>
    </row>
    <row r="26">
      <c r="A26" s="30"/>
      <c r="B26" s="68"/>
      <c r="C26" s="68"/>
      <c r="D26" s="35"/>
      <c r="E26" s="44">
        <f>B29/B28</f>
        <v>0.04529012333</v>
      </c>
      <c r="F26" s="45" t="s">
        <v>29</v>
      </c>
      <c r="R26" s="5"/>
    </row>
    <row r="27">
      <c r="A27" s="90" t="s">
        <v>68</v>
      </c>
      <c r="B27" s="30"/>
      <c r="C27" s="30"/>
      <c r="D27" s="35"/>
      <c r="E27" s="91">
        <f>B30</f>
        <v>0.3666666667</v>
      </c>
      <c r="F27" s="92" t="s">
        <v>69</v>
      </c>
      <c r="R27" s="5"/>
    </row>
    <row r="28">
      <c r="A28" s="93" t="s">
        <v>70</v>
      </c>
      <c r="B28" s="42">
        <f>A6</f>
        <v>11</v>
      </c>
      <c r="C28" s="94" t="s">
        <v>71</v>
      </c>
      <c r="D28" s="35"/>
      <c r="E28" s="73">
        <f>E27*E26</f>
        <v>0.01660637856</v>
      </c>
      <c r="F28" s="51" t="s">
        <v>72</v>
      </c>
      <c r="R28" s="5"/>
    </row>
    <row r="29">
      <c r="A29" s="95" t="s">
        <v>73</v>
      </c>
      <c r="B29" s="96">
        <f>((B6*1000000+E8)*1.5)/1024/1024</f>
        <v>0.4981913567</v>
      </c>
      <c r="C29" s="97" t="s">
        <v>71</v>
      </c>
      <c r="D29" s="35"/>
      <c r="E29" s="55">
        <f>E27-E30</f>
        <v>0.3500602881</v>
      </c>
      <c r="F29" s="98" t="s">
        <v>74</v>
      </c>
      <c r="R29" s="5"/>
    </row>
    <row r="30">
      <c r="A30" s="99" t="s">
        <v>75</v>
      </c>
      <c r="B30" s="100">
        <f>B28/30</f>
        <v>0.3666666667</v>
      </c>
      <c r="C30" s="101" t="s">
        <v>76</v>
      </c>
      <c r="D30" s="35"/>
      <c r="E30" s="62">
        <f>E27*E26</f>
        <v>0.01660637856</v>
      </c>
      <c r="F30" s="102" t="s">
        <v>77</v>
      </c>
      <c r="R30" s="5"/>
    </row>
    <row r="31">
      <c r="A31" s="68"/>
      <c r="B31" s="68"/>
      <c r="C31" s="68"/>
      <c r="D31" s="68"/>
      <c r="E31" s="103"/>
      <c r="F31" s="103"/>
      <c r="R31" s="5"/>
    </row>
    <row r="32">
      <c r="A32" s="68"/>
      <c r="B32" s="68"/>
      <c r="C32" s="68"/>
      <c r="D32" s="104"/>
      <c r="E32" s="105" t="s">
        <v>78</v>
      </c>
      <c r="F32" s="106"/>
      <c r="R32" s="5"/>
    </row>
    <row r="33">
      <c r="A33" s="68"/>
      <c r="B33" s="68"/>
      <c r="C33" s="68"/>
      <c r="D33" s="104"/>
      <c r="E33" s="107" t="s">
        <v>79</v>
      </c>
      <c r="F33" s="108">
        <f>E13</f>
        <v>326.6666667</v>
      </c>
      <c r="R33" s="5"/>
    </row>
    <row r="34">
      <c r="A34" s="68"/>
      <c r="B34" s="68"/>
      <c r="C34" s="68"/>
      <c r="D34" s="104"/>
      <c r="E34" s="107" t="s">
        <v>80</v>
      </c>
      <c r="F34" s="108">
        <f>E20</f>
        <v>468612278</v>
      </c>
      <c r="R34" s="5"/>
    </row>
    <row r="35">
      <c r="A35" s="68"/>
      <c r="B35" s="68"/>
      <c r="C35" s="68"/>
      <c r="D35" s="104"/>
      <c r="E35" s="109" t="s">
        <v>81</v>
      </c>
      <c r="F35" s="110">
        <f>E29+E30</f>
        <v>0.3666666667</v>
      </c>
      <c r="I35" s="25" t="s">
        <v>82</v>
      </c>
      <c r="R35" s="5"/>
    </row>
    <row r="36">
      <c r="R36" s="5"/>
    </row>
    <row r="37">
      <c r="D37" s="68"/>
      <c r="E37" s="68"/>
      <c r="F37" s="68"/>
      <c r="R37" s="5"/>
    </row>
    <row r="38">
      <c r="D38" s="68"/>
      <c r="R38" s="5"/>
    </row>
    <row r="39">
      <c r="D39" s="68"/>
      <c r="R39" s="5"/>
    </row>
    <row r="40">
      <c r="D40" s="68"/>
      <c r="R40" s="5"/>
    </row>
    <row r="41">
      <c r="D41" s="68"/>
      <c r="R41" s="5"/>
    </row>
    <row r="42">
      <c r="A42" s="68"/>
      <c r="B42" s="68"/>
      <c r="C42" s="68"/>
      <c r="D42" s="68"/>
      <c r="R42" s="5"/>
    </row>
    <row r="43">
      <c r="A43" s="68"/>
      <c r="B43" s="68"/>
      <c r="C43" s="68"/>
      <c r="D43" s="68"/>
      <c r="E43" s="111" t="s">
        <v>83</v>
      </c>
      <c r="F43" s="112"/>
      <c r="G43" s="68"/>
      <c r="H43" s="68"/>
      <c r="R43" s="5"/>
    </row>
    <row r="44">
      <c r="A44" s="68"/>
      <c r="B44" s="68"/>
      <c r="C44" s="68"/>
      <c r="D44" s="68"/>
      <c r="G44" s="68"/>
      <c r="H44" s="68"/>
      <c r="R44" s="5"/>
    </row>
    <row r="45">
      <c r="A45" s="68"/>
      <c r="B45" s="68"/>
      <c r="C45" s="68"/>
      <c r="D45" s="68"/>
      <c r="G45" s="68"/>
      <c r="H45" s="68"/>
      <c r="I45" s="68"/>
      <c r="J45" s="68"/>
      <c r="R45" s="5"/>
    </row>
    <row r="46">
      <c r="A46" s="68"/>
      <c r="B46" s="68"/>
      <c r="C46" s="68"/>
      <c r="D46" s="68"/>
      <c r="E46" s="68"/>
      <c r="F46" s="68"/>
      <c r="G46" s="68"/>
      <c r="H46" s="68"/>
      <c r="I46" s="68"/>
      <c r="J46" s="68"/>
      <c r="R46" s="5"/>
    </row>
    <row r="47">
      <c r="A47" s="68"/>
      <c r="B47" s="68"/>
      <c r="C47" s="68"/>
      <c r="D47" s="68"/>
      <c r="E47" s="68"/>
      <c r="F47" s="68"/>
      <c r="G47" s="68"/>
      <c r="H47" s="68"/>
      <c r="I47" s="68"/>
      <c r="J47" s="68"/>
      <c r="R47" s="5"/>
    </row>
    <row r="48">
      <c r="A48" s="68"/>
      <c r="B48" s="68"/>
      <c r="C48" s="68"/>
      <c r="D48" s="68"/>
      <c r="E48" s="68"/>
      <c r="F48" s="68"/>
      <c r="G48" s="68"/>
      <c r="H48" s="68"/>
      <c r="I48" s="68"/>
      <c r="J48" s="68"/>
      <c r="R48" s="5"/>
    </row>
    <row r="49">
      <c r="A49" s="68"/>
      <c r="B49" s="68"/>
      <c r="C49" s="68"/>
      <c r="D49" s="68"/>
      <c r="E49" s="68"/>
      <c r="F49" s="68"/>
      <c r="G49" s="68"/>
      <c r="H49" s="68"/>
      <c r="I49" s="68"/>
      <c r="J49" s="68"/>
      <c r="R49" s="5"/>
    </row>
    <row r="50">
      <c r="A50" s="68"/>
      <c r="B50" s="68"/>
      <c r="C50" s="68"/>
      <c r="D50" s="68"/>
      <c r="E50" s="68"/>
      <c r="F50" s="68"/>
      <c r="G50" s="68"/>
      <c r="H50" s="68"/>
      <c r="I50" s="68"/>
      <c r="J50" s="68"/>
      <c r="R50" s="5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R51" s="5"/>
    </row>
    <row r="52">
      <c r="A52" s="68"/>
      <c r="B52" s="68"/>
      <c r="C52" s="68"/>
      <c r="D52" s="68"/>
      <c r="E52" s="68"/>
      <c r="F52" s="68"/>
      <c r="G52" s="68"/>
      <c r="H52" s="68"/>
      <c r="I52" s="68"/>
      <c r="J52" s="68"/>
      <c r="R52" s="5"/>
    </row>
    <row r="53">
      <c r="A53" s="68"/>
      <c r="B53" s="68"/>
      <c r="C53" s="68"/>
      <c r="D53" s="68"/>
      <c r="E53" s="68"/>
      <c r="F53" s="68"/>
      <c r="G53" s="68"/>
      <c r="H53" s="68"/>
      <c r="I53" s="68"/>
      <c r="J53" s="68"/>
      <c r="R53" s="5"/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R54" s="5"/>
    </row>
    <row r="55">
      <c r="A55" s="68"/>
      <c r="B55" s="68"/>
      <c r="C55" s="68"/>
      <c r="D55" s="68"/>
      <c r="E55" s="68"/>
      <c r="F55" s="68"/>
      <c r="G55" s="68"/>
      <c r="H55" s="68"/>
      <c r="I55" s="68"/>
      <c r="J55" s="68"/>
      <c r="R55" s="5"/>
    </row>
    <row r="56">
      <c r="A56" s="68"/>
      <c r="B56" s="68"/>
      <c r="C56" s="68"/>
      <c r="D56" s="68"/>
      <c r="E56" s="68"/>
      <c r="F56" s="68"/>
      <c r="G56" s="68"/>
      <c r="H56" s="68"/>
      <c r="I56" s="68"/>
      <c r="J56" s="68"/>
      <c r="R56" s="5"/>
    </row>
    <row r="57">
      <c r="A57" s="68"/>
      <c r="B57" s="68"/>
      <c r="C57" s="68"/>
      <c r="D57" s="68"/>
      <c r="E57" s="68"/>
      <c r="F57" s="68"/>
      <c r="G57" s="68"/>
      <c r="H57" s="68"/>
      <c r="I57" s="68"/>
      <c r="J57" s="68"/>
      <c r="R57" s="5"/>
    </row>
    <row r="58">
      <c r="A58" s="68"/>
      <c r="B58" s="68"/>
      <c r="C58" s="68"/>
      <c r="D58" s="68"/>
      <c r="E58" s="68"/>
      <c r="F58" s="68"/>
      <c r="G58" s="68"/>
      <c r="H58" s="68"/>
      <c r="I58" s="68"/>
      <c r="J58" s="68"/>
      <c r="R58" s="5"/>
    </row>
    <row r="59">
      <c r="A59" s="68"/>
      <c r="B59" s="68"/>
      <c r="C59" s="68"/>
      <c r="D59" s="68"/>
      <c r="E59" s="68"/>
      <c r="F59" s="68"/>
      <c r="G59" s="68"/>
      <c r="H59" s="68"/>
      <c r="I59" s="68"/>
      <c r="J59" s="68"/>
      <c r="R59" s="5"/>
    </row>
    <row r="60">
      <c r="A60" s="68"/>
      <c r="B60" s="68"/>
      <c r="C60" s="68"/>
      <c r="D60" s="68"/>
      <c r="E60" s="68"/>
      <c r="F60" s="68"/>
      <c r="G60" s="68"/>
      <c r="H60" s="68"/>
      <c r="I60" s="68"/>
      <c r="J60" s="68"/>
      <c r="R60" s="5"/>
    </row>
    <row r="61">
      <c r="A61" s="68"/>
      <c r="B61" s="68"/>
      <c r="C61" s="68"/>
      <c r="D61" s="68"/>
      <c r="E61" s="68"/>
      <c r="F61" s="68"/>
      <c r="G61" s="68"/>
      <c r="H61" s="68"/>
      <c r="I61" s="68"/>
      <c r="J61" s="68"/>
      <c r="R61" s="5"/>
    </row>
    <row r="62">
      <c r="A62" s="68"/>
      <c r="B62" s="68"/>
      <c r="C62" s="68"/>
      <c r="D62" s="68"/>
      <c r="E62" s="68"/>
      <c r="F62" s="68"/>
      <c r="G62" s="68"/>
      <c r="H62" s="68"/>
      <c r="I62" s="68"/>
      <c r="J62" s="68"/>
      <c r="R62" s="5"/>
    </row>
    <row r="63">
      <c r="A63" s="68"/>
      <c r="B63" s="68"/>
      <c r="C63" s="68"/>
      <c r="D63" s="68"/>
      <c r="E63" s="68"/>
      <c r="F63" s="68"/>
      <c r="G63" s="68"/>
      <c r="H63" s="68"/>
      <c r="I63" s="68"/>
      <c r="J63" s="68"/>
      <c r="R63" s="5"/>
    </row>
    <row r="64">
      <c r="A64" s="68"/>
      <c r="B64" s="68"/>
      <c r="C64" s="68"/>
      <c r="D64" s="68"/>
      <c r="E64" s="68"/>
      <c r="F64" s="68"/>
      <c r="G64" s="68"/>
      <c r="H64" s="68"/>
      <c r="I64" s="68"/>
      <c r="J64" s="68"/>
      <c r="R64" s="5"/>
    </row>
    <row r="65">
      <c r="A65" s="68"/>
      <c r="B65" s="68"/>
      <c r="C65" s="68"/>
      <c r="D65" s="68"/>
      <c r="E65" s="68"/>
      <c r="F65" s="68"/>
      <c r="G65" s="68"/>
      <c r="H65" s="68"/>
      <c r="I65" s="68"/>
      <c r="J65" s="68"/>
      <c r="R65" s="5"/>
    </row>
    <row r="66">
      <c r="A66" s="68"/>
      <c r="B66" s="68"/>
      <c r="C66" s="68"/>
      <c r="D66" s="68"/>
      <c r="E66" s="68"/>
      <c r="F66" s="68"/>
      <c r="G66" s="68"/>
      <c r="H66" s="68"/>
      <c r="I66" s="68"/>
      <c r="J66" s="68"/>
      <c r="R66" s="5"/>
    </row>
    <row r="67">
      <c r="A67" s="68"/>
      <c r="B67" s="68"/>
      <c r="C67" s="68"/>
      <c r="D67" s="68"/>
      <c r="E67" s="68"/>
      <c r="F67" s="68"/>
      <c r="G67" s="68"/>
      <c r="H67" s="68"/>
      <c r="I67" s="68"/>
      <c r="J67" s="68"/>
      <c r="R67" s="5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R68" s="5"/>
    </row>
    <row r="69">
      <c r="A69" s="68"/>
      <c r="B69" s="68"/>
      <c r="C69" s="68"/>
      <c r="D69" s="68"/>
      <c r="E69" s="68"/>
      <c r="F69" s="68"/>
      <c r="G69" s="68"/>
      <c r="H69" s="68"/>
      <c r="I69" s="68"/>
      <c r="J69" s="68"/>
      <c r="R69" s="5"/>
    </row>
    <row r="70">
      <c r="A70" s="68"/>
      <c r="B70" s="68"/>
      <c r="C70" s="68"/>
      <c r="D70" s="68"/>
      <c r="E70" s="68"/>
      <c r="F70" s="68"/>
      <c r="G70" s="68"/>
      <c r="H70" s="68"/>
      <c r="I70" s="68"/>
      <c r="J70" s="68"/>
      <c r="R70" s="5"/>
    </row>
    <row r="71">
      <c r="A71" s="68"/>
      <c r="B71" s="68"/>
      <c r="C71" s="68"/>
      <c r="D71" s="68"/>
      <c r="E71" s="68"/>
      <c r="F71" s="68"/>
      <c r="G71" s="68"/>
      <c r="H71" s="68"/>
      <c r="I71" s="68"/>
      <c r="J71" s="68"/>
      <c r="R71" s="5"/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R72" s="5"/>
    </row>
    <row r="73">
      <c r="A73" s="68"/>
      <c r="B73" s="68"/>
      <c r="C73" s="68"/>
      <c r="D73" s="68"/>
      <c r="E73" s="68"/>
      <c r="F73" s="68"/>
      <c r="G73" s="68"/>
      <c r="H73" s="68"/>
      <c r="I73" s="68"/>
      <c r="J73" s="68"/>
      <c r="R73" s="5"/>
    </row>
    <row r="74">
      <c r="A74" s="68"/>
      <c r="B74" s="68"/>
      <c r="C74" s="68"/>
      <c r="D74" s="68"/>
      <c r="E74" s="68"/>
      <c r="F74" s="68"/>
      <c r="G74" s="68"/>
      <c r="H74" s="68"/>
      <c r="I74" s="68"/>
      <c r="J74" s="68"/>
      <c r="R74" s="5"/>
    </row>
    <row r="75">
      <c r="A75" s="68"/>
      <c r="B75" s="68"/>
      <c r="C75" s="68"/>
      <c r="D75" s="68"/>
      <c r="E75" s="68"/>
      <c r="F75" s="68"/>
      <c r="G75" s="68"/>
      <c r="H75" s="68"/>
      <c r="I75" s="68"/>
      <c r="J75" s="68"/>
      <c r="R75" s="5"/>
    </row>
    <row r="76">
      <c r="A76" s="68"/>
      <c r="B76" s="68"/>
      <c r="C76" s="68"/>
      <c r="D76" s="68"/>
      <c r="E76" s="68"/>
      <c r="F76" s="68"/>
      <c r="G76" s="68"/>
      <c r="H76" s="68"/>
      <c r="I76" s="68"/>
      <c r="J76" s="68"/>
      <c r="R76" s="5"/>
    </row>
    <row r="77">
      <c r="A77" s="68"/>
      <c r="B77" s="68"/>
      <c r="C77" s="68"/>
      <c r="D77" s="68"/>
      <c r="E77" s="68"/>
      <c r="F77" s="68"/>
      <c r="G77" s="68"/>
      <c r="H77" s="68"/>
      <c r="I77" s="68"/>
      <c r="J77" s="68"/>
      <c r="R77" s="5"/>
    </row>
    <row r="78">
      <c r="A78" s="68"/>
      <c r="B78" s="68"/>
      <c r="C78" s="68"/>
      <c r="D78" s="68"/>
      <c r="E78" s="68"/>
      <c r="F78" s="68"/>
      <c r="G78" s="68"/>
      <c r="H78" s="68"/>
      <c r="I78" s="68"/>
      <c r="J78" s="68"/>
      <c r="R78" s="5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R79" s="5"/>
    </row>
    <row r="80">
      <c r="A80" s="68"/>
      <c r="B80" s="68"/>
      <c r="C80" s="68"/>
      <c r="D80" s="68"/>
      <c r="E80" s="68"/>
      <c r="F80" s="68"/>
      <c r="G80" s="68"/>
      <c r="H80" s="68"/>
      <c r="I80" s="68"/>
      <c r="J80" s="68"/>
      <c r="R80" s="5"/>
    </row>
    <row r="81">
      <c r="A81" s="68"/>
      <c r="B81" s="68"/>
      <c r="C81" s="68"/>
      <c r="D81" s="68"/>
      <c r="E81" s="68"/>
      <c r="F81" s="68"/>
      <c r="G81" s="68"/>
      <c r="H81" s="68"/>
      <c r="I81" s="68"/>
      <c r="J81" s="68"/>
      <c r="R81" s="5"/>
    </row>
    <row r="82">
      <c r="A82" s="68"/>
      <c r="B82" s="68"/>
      <c r="C82" s="68"/>
      <c r="D82" s="68"/>
      <c r="E82" s="68"/>
      <c r="F82" s="68"/>
      <c r="G82" s="68"/>
      <c r="H82" s="68"/>
      <c r="I82" s="68"/>
      <c r="J82" s="68"/>
      <c r="R82" s="5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R83" s="5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R84" s="5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R85" s="5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R86" s="5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R87" s="5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R88" s="5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R89" s="5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R90" s="5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R91" s="5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R92" s="5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R93" s="5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R94" s="5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R95" s="5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R96" s="5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R97" s="5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R98" s="5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R99" s="5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R100" s="5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R101" s="5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R102" s="5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R103" s="5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R104" s="5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R105" s="5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R106" s="5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R107" s="5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R108" s="5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R109" s="5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R110" s="5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R111" s="5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R112" s="5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R113" s="5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R114" s="5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R115" s="5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R116" s="5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R117" s="5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R118" s="5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R119" s="5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R120" s="5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R121" s="5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R122" s="5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R123" s="5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R124" s="5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R125" s="5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R126" s="5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R127" s="5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R128" s="5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R129" s="5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R130" s="5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R131" s="5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R132" s="5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R133" s="5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R134" s="5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R135" s="5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R136" s="5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R137" s="5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R138" s="5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R139" s="5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R140" s="5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R141" s="5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R142" s="5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R143" s="5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R144" s="5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R145" s="5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R146" s="5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R147" s="5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R148" s="5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R149" s="5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R150" s="5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R151" s="5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R152" s="5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R153" s="5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R154" s="5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R155" s="5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R156" s="5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R157" s="5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R158" s="5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R159" s="5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R160" s="5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R161" s="5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R162" s="5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R163" s="5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R164" s="5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R165" s="5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R166" s="5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R167" s="5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R168" s="5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R169" s="5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R170" s="5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R171" s="5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R172" s="5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R173" s="5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R174" s="5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R175" s="5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R176" s="5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R177" s="5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R178" s="5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R179" s="5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R180" s="5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R181" s="5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R182" s="5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R183" s="5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R184" s="5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R185" s="5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R186" s="5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R187" s="5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R188" s="5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R189" s="5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R190" s="5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R191" s="5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R192" s="5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R193" s="5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R194" s="5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R195" s="5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R196" s="5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R197" s="5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R198" s="5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R199" s="5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R200" s="5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R201" s="5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R202" s="5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R203" s="5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R204" s="5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R205" s="5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R206" s="5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R207" s="5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R208" s="5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R209" s="5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R210" s="5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R211" s="5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R212" s="5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R213" s="5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R214" s="5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R215" s="5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R216" s="5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R217" s="5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R218" s="5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R219" s="5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R220" s="5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R221" s="5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R222" s="5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R223" s="5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R224" s="5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R225" s="5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R226" s="5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R227" s="5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R228" s="5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R229" s="5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R230" s="5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R231" s="5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R232" s="5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R233" s="5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R234" s="5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R235" s="5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R236" s="5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R237" s="5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R238" s="5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R239" s="5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R240" s="5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R241" s="5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R242" s="5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R243" s="5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R244" s="5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R245" s="5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R246" s="5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R247" s="5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R248" s="5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R249" s="5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R250" s="5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R251" s="5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R252" s="5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R253" s="5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R254" s="5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R255" s="5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R256" s="5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R257" s="5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R258" s="5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R259" s="5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R260" s="5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R261" s="5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R262" s="5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R263" s="5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R264" s="5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R265" s="5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R266" s="5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R267" s="5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R268" s="5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R269" s="5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R270" s="5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R271" s="5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R272" s="5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R273" s="5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R274" s="5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R275" s="5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R276" s="5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R277" s="5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R278" s="5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R279" s="5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R280" s="5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R281" s="5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R282" s="5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R283" s="5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R284" s="5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R285" s="5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R286" s="5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R287" s="5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R288" s="5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R289" s="5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R290" s="5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R291" s="5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R292" s="5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R293" s="5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R294" s="5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R295" s="5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R296" s="5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R297" s="5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R298" s="5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R299" s="5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R300" s="5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R301" s="5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R302" s="5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R303" s="5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R304" s="5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R305" s="5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R306" s="5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R307" s="5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R308" s="5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R309" s="5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R310" s="5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R311" s="5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R312" s="5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R313" s="5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R314" s="5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R315" s="5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R316" s="5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R317" s="5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R318" s="5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R319" s="5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R320" s="5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R321" s="5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R322" s="5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R323" s="5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R324" s="5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R325" s="5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R326" s="5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R327" s="5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R328" s="5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R329" s="5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R330" s="5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R331" s="5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R332" s="5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R333" s="5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R334" s="5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R335" s="5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R336" s="5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R337" s="5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R338" s="5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R339" s="5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R340" s="5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R341" s="5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R342" s="5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R343" s="5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R344" s="5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R345" s="5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R346" s="5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R347" s="5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R348" s="5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R349" s="5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R350" s="5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R351" s="5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R352" s="5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R353" s="5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R354" s="5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R355" s="5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R356" s="5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R357" s="5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R358" s="5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R359" s="5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R360" s="5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R361" s="5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R362" s="5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R363" s="5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R364" s="5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R365" s="5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R366" s="5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R367" s="5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R368" s="5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R369" s="5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R370" s="5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R371" s="5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R372" s="5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R373" s="5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R374" s="5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R375" s="5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R376" s="5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R377" s="5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R378" s="5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R379" s="5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R380" s="5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R381" s="5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R382" s="5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R383" s="5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R384" s="5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R385" s="5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R386" s="5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R387" s="5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R388" s="5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R389" s="5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R390" s="5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R391" s="5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R392" s="5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R393" s="5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R394" s="5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R395" s="5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R396" s="5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R397" s="5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R398" s="5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R399" s="5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R400" s="5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R401" s="5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R402" s="5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R403" s="5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R404" s="5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R405" s="5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R406" s="5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R407" s="5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R408" s="5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R409" s="5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R410" s="5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R411" s="5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R412" s="5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R413" s="5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R414" s="5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R415" s="5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R416" s="5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R417" s="5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R418" s="5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R419" s="5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R420" s="5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R421" s="5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R422" s="5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R423" s="5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R424" s="5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R425" s="5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R426" s="5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R427" s="5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R428" s="5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R429" s="5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R430" s="5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R431" s="5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R432" s="5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R433" s="5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R434" s="5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R435" s="5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R436" s="5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R437" s="5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R438" s="5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R439" s="5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R440" s="5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R441" s="5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R442" s="5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R443" s="5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R444" s="5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R445" s="5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R446" s="5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R447" s="5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R448" s="5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R449" s="5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R450" s="5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R451" s="5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R452" s="5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R453" s="5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R454" s="5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R455" s="5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R456" s="5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R457" s="5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R458" s="5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R459" s="5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R460" s="5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R461" s="5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R462" s="5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R463" s="5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R464" s="5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R465" s="5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R466" s="5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R467" s="5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R468" s="5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R469" s="5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R470" s="5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R471" s="5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R472" s="5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R473" s="5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R474" s="5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R475" s="5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R476" s="5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R477" s="5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R478" s="5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R479" s="5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R480" s="5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R481" s="5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R482" s="5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R483" s="5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R484" s="5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R485" s="5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R486" s="5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R487" s="5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R488" s="5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R489" s="5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R490" s="5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R491" s="5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R492" s="5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R493" s="5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R494" s="5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R495" s="5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R496" s="5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R497" s="5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R498" s="5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R499" s="5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R500" s="5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R501" s="5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R502" s="5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R503" s="5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R504" s="5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R505" s="5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R506" s="5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R507" s="5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R508" s="5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R509" s="5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R510" s="5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R511" s="5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R512" s="5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R513" s="5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R514" s="5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R515" s="5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R516" s="5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R517" s="5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R518" s="5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R519" s="5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R520" s="5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R521" s="5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R522" s="5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R523" s="5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R524" s="5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R525" s="5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R526" s="5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R527" s="5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R528" s="5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R529" s="5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R530" s="5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R531" s="5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R532" s="5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R533" s="5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R534" s="5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R535" s="5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R536" s="5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R537" s="5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R538" s="5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R539" s="5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R540" s="5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R541" s="5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R542" s="5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R543" s="5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R544" s="5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R545" s="5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R546" s="5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R547" s="5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R548" s="5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R549" s="5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R550" s="5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R551" s="5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R552" s="5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R553" s="5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R554" s="5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R555" s="5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R556" s="5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R557" s="5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R558" s="5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R559" s="5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R560" s="5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R561" s="5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R562" s="5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R563" s="5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R564" s="5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R565" s="5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R566" s="5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R567" s="5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R568" s="5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R569" s="5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R570" s="5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R571" s="5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R572" s="5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R573" s="5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R574" s="5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R575" s="5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R576" s="5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R577" s="5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R578" s="5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R579" s="5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R580" s="5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R581" s="5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R582" s="5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R583" s="5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R584" s="5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R585" s="5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R586" s="5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R587" s="5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R588" s="5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R589" s="5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R590" s="5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R591" s="5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R592" s="5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R593" s="5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R594" s="5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R595" s="5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R596" s="5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R597" s="5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R598" s="5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R599" s="5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R600" s="5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R601" s="5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R602" s="5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R603" s="5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R604" s="5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R605" s="5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R606" s="5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R607" s="5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R608" s="5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R609" s="5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R610" s="5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R611" s="5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R612" s="5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R613" s="5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R614" s="5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R615" s="5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R616" s="5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R617" s="5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R618" s="5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R619" s="5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R620" s="5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R621" s="5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R622" s="5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R623" s="5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R624" s="5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R625" s="5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R626" s="5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R627" s="5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R628" s="5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R629" s="5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R630" s="5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R631" s="5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R632" s="5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R633" s="5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R634" s="5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R635" s="5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R636" s="5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R637" s="5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R638" s="5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R639" s="5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R640" s="5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R641" s="5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R642" s="5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R643" s="5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R644" s="5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R645" s="5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R646" s="5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R647" s="5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R648" s="5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R649" s="5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R650" s="5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R651" s="5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R652" s="5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R653" s="5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R654" s="5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R655" s="5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R656" s="5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R657" s="5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R658" s="5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R659" s="5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R660" s="5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R661" s="5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R662" s="5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R663" s="5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R664" s="5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R665" s="5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R666" s="5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R667" s="5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R668" s="5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R669" s="5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R670" s="5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R671" s="5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R672" s="5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R673" s="5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R674" s="5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R675" s="5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R676" s="5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R677" s="5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R678" s="5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R679" s="5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R680" s="5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R681" s="5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R682" s="5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R683" s="5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R684" s="5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R685" s="5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R686" s="5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R687" s="5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R688" s="5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R689" s="5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R690" s="5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R691" s="5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R692" s="5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R693" s="5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R694" s="5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R695" s="5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R696" s="5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R697" s="5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R698" s="5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R699" s="5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R700" s="5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R701" s="5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R702" s="5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R703" s="5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R704" s="5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R705" s="5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R706" s="5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R707" s="5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R708" s="5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R709" s="5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R710" s="5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R711" s="5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R712" s="5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R713" s="5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R714" s="5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R715" s="5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R716" s="5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R717" s="5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R718" s="5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R719" s="5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R720" s="5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R721" s="5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R722" s="5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R723" s="5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R724" s="5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R725" s="5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R726" s="5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R727" s="5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R728" s="5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R729" s="5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R730" s="5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R731" s="5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R732" s="5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R733" s="5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R734" s="5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R735" s="5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R736" s="5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R737" s="5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R738" s="5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R739" s="5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R740" s="5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R741" s="5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R742" s="5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R743" s="5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R744" s="5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R745" s="5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R746" s="5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R747" s="5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R748" s="5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R749" s="5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R750" s="5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R751" s="5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R752" s="5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R753" s="5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R754" s="5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R755" s="5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R756" s="5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R757" s="5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R758" s="5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R759" s="5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R760" s="5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R761" s="5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R762" s="5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R763" s="5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R764" s="5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R765" s="5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R766" s="5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R767" s="5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R768" s="5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R769" s="5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R770" s="5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R771" s="5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R772" s="5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R773" s="5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R774" s="5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R775" s="5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R776" s="5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R777" s="5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R778" s="5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R779" s="5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R780" s="5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R781" s="5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R782" s="5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R783" s="5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R784" s="5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R785" s="5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R786" s="5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R787" s="5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R788" s="5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R789" s="5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R790" s="5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R791" s="5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R792" s="5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R793" s="5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R794" s="5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R795" s="5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R796" s="5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R797" s="5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R798" s="5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R799" s="5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R800" s="5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R801" s="5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R802" s="5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R803" s="5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R804" s="5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R805" s="5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R806" s="5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R807" s="5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R808" s="5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R809" s="5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R810" s="5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R811" s="5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R812" s="5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R813" s="5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R814" s="5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R815" s="5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R816" s="5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R817" s="5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R818" s="5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R819" s="5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R820" s="5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R821" s="5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R822" s="5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R823" s="5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R824" s="5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R825" s="5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R826" s="5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R827" s="5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R828" s="5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R829" s="5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R830" s="5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R831" s="5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R832" s="5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R833" s="5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R834" s="5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R835" s="5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R836" s="5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R837" s="5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R838" s="5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R839" s="5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R840" s="5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R841" s="5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R842" s="5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R843" s="5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R844" s="5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R845" s="5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R846" s="5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R847" s="5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R848" s="5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R849" s="5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R850" s="5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R851" s="5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R852" s="5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R853" s="5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R854" s="5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R855" s="5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R856" s="5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R857" s="5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R858" s="5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R859" s="5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R860" s="5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R861" s="5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R862" s="5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R863" s="5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R864" s="5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R865" s="5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R866" s="5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R867" s="5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R868" s="5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R869" s="5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R870" s="5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R871" s="5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R872" s="5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R873" s="5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R874" s="5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R875" s="5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R876" s="5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R877" s="5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R878" s="5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R879" s="5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R880" s="5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R881" s="5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R882" s="5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R883" s="5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R884" s="5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R885" s="5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R886" s="5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R887" s="5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R888" s="5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R889" s="5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R890" s="5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R891" s="5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R892" s="5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R893" s="5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R894" s="5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R895" s="5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R896" s="5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R897" s="5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R898" s="5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R899" s="5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R900" s="5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R901" s="5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R902" s="5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R903" s="5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R904" s="5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R905" s="5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R906" s="5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R907" s="5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R908" s="5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R909" s="5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R910" s="5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R911" s="5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R912" s="5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R913" s="5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R914" s="5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R915" s="5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R916" s="5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R917" s="5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R918" s="5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R919" s="5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R920" s="5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R921" s="5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R922" s="5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R923" s="5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R924" s="5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R925" s="5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R926" s="5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R927" s="5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R928" s="5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R929" s="5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R930" s="5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R931" s="5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R932" s="5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R933" s="5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R934" s="5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R935" s="5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R936" s="5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R937" s="5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R938" s="5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R939" s="5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R940" s="5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R941" s="5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R942" s="5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R943" s="5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R944" s="5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R945" s="5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R946" s="5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R947" s="5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R948" s="5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R949" s="5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R950" s="5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R951" s="5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R952" s="5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R953" s="5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R954" s="5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R955" s="5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R956" s="5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R957" s="5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R958" s="5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R959" s="5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R960" s="5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R961" s="5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R962" s="5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R963" s="5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R964" s="5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R965" s="5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R966" s="5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R967" s="5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R968" s="5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R969" s="5"/>
    </row>
    <row r="970">
      <c r="D970" s="68"/>
      <c r="E970" s="68"/>
      <c r="F970" s="68"/>
      <c r="G970" s="68"/>
      <c r="H970" s="68"/>
      <c r="I970" s="68"/>
      <c r="J970" s="68"/>
      <c r="R970" s="5"/>
    </row>
    <row r="971">
      <c r="D971" s="68"/>
      <c r="E971" s="68"/>
      <c r="F971" s="68"/>
      <c r="G971" s="68"/>
      <c r="H971" s="68"/>
      <c r="I971" s="68"/>
      <c r="J971" s="68"/>
      <c r="R971" s="5"/>
    </row>
    <row r="972">
      <c r="D972" s="68"/>
      <c r="G972" s="68"/>
      <c r="H972" s="68"/>
      <c r="I972" s="68"/>
      <c r="J972" s="68"/>
      <c r="R972" s="5"/>
    </row>
    <row r="973">
      <c r="D973" s="68"/>
      <c r="G973" s="68"/>
      <c r="H973" s="68"/>
      <c r="I973" s="68"/>
      <c r="J973" s="68"/>
      <c r="R973" s="5"/>
    </row>
    <row r="974">
      <c r="D974" s="68"/>
      <c r="G974" s="68"/>
      <c r="H974" s="68"/>
      <c r="I974" s="68"/>
      <c r="J974" s="68"/>
      <c r="R974" s="5"/>
    </row>
    <row r="975">
      <c r="I975" s="68"/>
      <c r="J975" s="68"/>
      <c r="R975" s="5"/>
    </row>
    <row r="976">
      <c r="I976" s="68"/>
      <c r="J976" s="68"/>
      <c r="R976" s="5"/>
    </row>
    <row r="977">
      <c r="R977" s="5"/>
    </row>
    <row r="978">
      <c r="R978" s="5"/>
    </row>
    <row r="979">
      <c r="R979" s="5"/>
    </row>
    <row r="980">
      <c r="R980" s="5"/>
    </row>
    <row r="981">
      <c r="R981" s="5"/>
    </row>
    <row r="982">
      <c r="R982" s="5"/>
    </row>
    <row r="983">
      <c r="R983" s="5"/>
    </row>
    <row r="984">
      <c r="R984" s="5"/>
    </row>
    <row r="985">
      <c r="R985" s="5"/>
    </row>
    <row r="986">
      <c r="R986" s="5"/>
    </row>
    <row r="987">
      <c r="R987" s="5"/>
    </row>
    <row r="988">
      <c r="R988" s="5"/>
    </row>
    <row r="989">
      <c r="R989" s="5"/>
    </row>
    <row r="990">
      <c r="R990" s="5"/>
    </row>
    <row r="991">
      <c r="R991" s="5"/>
    </row>
    <row r="992">
      <c r="R992" s="5"/>
    </row>
    <row r="993">
      <c r="R993" s="5"/>
    </row>
    <row r="994">
      <c r="R994" s="5"/>
    </row>
    <row r="995">
      <c r="R995" s="5"/>
    </row>
    <row r="996">
      <c r="R996" s="5"/>
    </row>
    <row r="997">
      <c r="R997" s="5"/>
    </row>
    <row r="998">
      <c r="R998" s="5"/>
    </row>
    <row r="999">
      <c r="R999" s="5"/>
    </row>
    <row r="1000">
      <c r="R1000" s="5"/>
    </row>
    <row r="1001">
      <c r="R1001" s="5"/>
    </row>
    <row r="1002">
      <c r="R1002" s="5"/>
    </row>
    <row r="1003">
      <c r="R1003" s="5"/>
    </row>
    <row r="1004">
      <c r="R1004" s="5"/>
    </row>
  </sheetData>
  <mergeCells count="7">
    <mergeCell ref="A1:F1"/>
    <mergeCell ref="H1:I9"/>
    <mergeCell ref="J1:L9"/>
    <mergeCell ref="A10:F10"/>
    <mergeCell ref="H11:J11"/>
    <mergeCell ref="H19:J19"/>
    <mergeCell ref="E43:F4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113" t="s">
        <v>84</v>
      </c>
      <c r="B1" s="114"/>
      <c r="C1" s="115"/>
    </row>
    <row r="2">
      <c r="A2" s="116"/>
      <c r="B2" s="117" t="s">
        <v>30</v>
      </c>
      <c r="C2" s="118" t="s">
        <v>31</v>
      </c>
    </row>
    <row r="3">
      <c r="A3" s="119" t="s">
        <v>1</v>
      </c>
      <c r="B3" s="120">
        <v>1.6E7</v>
      </c>
      <c r="C3" s="121">
        <f t="shared" ref="C3:C8" si="1">(B3/30/24)*1.1</f>
        <v>24444.44444</v>
      </c>
    </row>
    <row r="4">
      <c r="A4" s="119" t="s">
        <v>17</v>
      </c>
      <c r="B4" s="120">
        <v>1.11E7</v>
      </c>
      <c r="C4" s="121">
        <f t="shared" si="1"/>
        <v>16958.33333</v>
      </c>
    </row>
    <row r="5">
      <c r="A5" s="122" t="s">
        <v>18</v>
      </c>
      <c r="B5" s="120">
        <v>1040000.0</v>
      </c>
      <c r="C5" s="121">
        <f t="shared" si="1"/>
        <v>1588.888889</v>
      </c>
    </row>
    <row r="6">
      <c r="A6" s="119" t="s">
        <v>15</v>
      </c>
      <c r="B6" s="120">
        <v>7450000.0</v>
      </c>
      <c r="C6" s="121">
        <f t="shared" si="1"/>
        <v>11381.94444</v>
      </c>
    </row>
    <row r="7">
      <c r="A7" s="122" t="s">
        <v>16</v>
      </c>
      <c r="B7" s="120">
        <v>1520000.0</v>
      </c>
      <c r="C7" s="121">
        <f t="shared" si="1"/>
        <v>2322.222222</v>
      </c>
    </row>
    <row r="8">
      <c r="A8" s="123" t="s">
        <v>85</v>
      </c>
      <c r="B8" s="124">
        <v>1.05E7</v>
      </c>
      <c r="C8" s="121">
        <f t="shared" si="1"/>
        <v>16041.66667</v>
      </c>
    </row>
  </sheetData>
  <mergeCells count="1">
    <mergeCell ref="A1:C1"/>
  </mergeCells>
  <drawing r:id="rId1"/>
</worksheet>
</file>