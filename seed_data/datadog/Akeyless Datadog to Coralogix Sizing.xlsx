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<sst xmlns="http://schemas.openxmlformats.org/spreadsheetml/2006/main" count="108" uniqueCount="84">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</sst>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25</xdr:row>
      <xdr:rowOff>238125</xdr:rowOff>
    </xdr:from>
    <xdr:ext cx="11791950" cy="26193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451.0</v>
      </c>
      <c r="B4" s="11">
        <v>25300.0</v>
      </c>
      <c r="C4" s="12">
        <v>0.0</v>
      </c>
      <c r="D4" s="11">
        <v>1.82</v>
      </c>
      <c r="E4" s="11">
        <v>7.0</v>
      </c>
      <c r="F4" s="11">
        <v>42763.0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3" t="s">
        <v>12</v>
      </c>
      <c r="G5" s="4"/>
      <c r="P5" s="4"/>
      <c r="Q5" s="4"/>
      <c r="R5" s="4"/>
      <c r="S5" s="4"/>
      <c r="T5" s="4"/>
    </row>
    <row r="6">
      <c r="A6" s="11">
        <v>0.0</v>
      </c>
      <c r="B6" s="11">
        <v>0.0</v>
      </c>
      <c r="C6" s="11">
        <v>0.0</v>
      </c>
      <c r="D6" s="11">
        <v>0.0</v>
      </c>
      <c r="E6" s="12">
        <v>0.0</v>
      </c>
      <c r="F6" s="12"/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3" t="s">
        <v>15</v>
      </c>
      <c r="D7" s="13" t="s">
        <v>16</v>
      </c>
      <c r="E7" s="13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0.0</v>
      </c>
      <c r="B8" s="18">
        <v>0.0</v>
      </c>
      <c r="C8" s="17">
        <v>7853.0</v>
      </c>
      <c r="D8" s="12">
        <v>0.0</v>
      </c>
      <c r="E8" s="11">
        <v>0.0</v>
      </c>
      <c r="F8" s="19"/>
      <c r="G8" s="4"/>
      <c r="P8" s="4"/>
      <c r="Q8" s="4"/>
      <c r="R8" s="4"/>
      <c r="S8" s="4"/>
      <c r="T8" s="4"/>
    </row>
    <row r="9">
      <c r="A9" s="14" t="s">
        <v>19</v>
      </c>
      <c r="B9" s="13" t="s">
        <v>20</v>
      </c>
      <c r="C9" s="13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1">
        <v>295000.0</v>
      </c>
      <c r="J13" s="33">
        <f t="shared" ref="J13:J19" si="1">(I13/30/24)*1.1</f>
        <v>450.6944444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1">
        <v>5140000.0</v>
      </c>
      <c r="J14" s="33">
        <f t="shared" si="1"/>
        <v>7852.777778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2">
        <f>C6+E6</f>
        <v>0</v>
      </c>
      <c r="C15" s="41" t="s">
        <v>30</v>
      </c>
      <c r="D15" s="38"/>
      <c r="E15" s="42" t="str">
        <f>B19/B15</f>
        <v>#DIV/0!</v>
      </c>
      <c r="F15" s="43" t="s">
        <v>31</v>
      </c>
      <c r="G15" s="4"/>
      <c r="H15" s="44" t="s">
        <v>16</v>
      </c>
      <c r="I15" s="12">
        <v>0.0</v>
      </c>
      <c r="J15" s="33">
        <f t="shared" si="1"/>
        <v>0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2.5</v>
      </c>
      <c r="C16" s="41" t="s">
        <v>34</v>
      </c>
      <c r="D16" s="38"/>
      <c r="E16" s="46">
        <f>B15/30</f>
        <v>0</v>
      </c>
      <c r="F16" s="38" t="s">
        <v>35</v>
      </c>
      <c r="G16" s="4"/>
      <c r="H16" s="27" t="s">
        <v>13</v>
      </c>
      <c r="I16" s="11">
        <v>0.0</v>
      </c>
      <c r="J16" s="33">
        <f t="shared" si="1"/>
        <v>0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2">
        <f>(C4+D4+D6)*1000000</f>
        <v>1820000</v>
      </c>
      <c r="C17" s="41" t="s">
        <v>38</v>
      </c>
      <c r="D17" s="38"/>
      <c r="E17" s="47">
        <f>E16*0.5</f>
        <v>0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2">
        <f>(B17*B16)*1024</f>
        <v>4659200000</v>
      </c>
      <c r="C18" s="41" t="s">
        <v>42</v>
      </c>
      <c r="D18" s="38"/>
      <c r="E18" s="47">
        <f>E16*0.4</f>
        <v>0</v>
      </c>
      <c r="F18" s="48" t="s">
        <v>43</v>
      </c>
      <c r="G18" s="4"/>
      <c r="H18" s="49" t="s">
        <v>44</v>
      </c>
      <c r="I18" s="12">
        <v>0.0</v>
      </c>
      <c r="J18" s="50">
        <f t="shared" si="1"/>
        <v>0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45">
        <f>B18/POW(1024,3)</f>
        <v>4.33921814</v>
      </c>
      <c r="C19" s="41" t="s">
        <v>30</v>
      </c>
      <c r="D19" s="38"/>
      <c r="E19" s="51">
        <f>E16*0.1</f>
        <v>0</v>
      </c>
      <c r="F19" s="52" t="s">
        <v>47</v>
      </c>
      <c r="G19" s="4"/>
      <c r="H19" s="53" t="s">
        <v>48</v>
      </c>
      <c r="I19" s="54">
        <v>0.0</v>
      </c>
      <c r="J19" s="55">
        <f t="shared" si="1"/>
        <v>0</v>
      </c>
      <c r="K19" s="56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7" t="s">
        <v>50</v>
      </c>
      <c r="B20" s="58">
        <f>B19/30</f>
        <v>0.1446406047</v>
      </c>
      <c r="C20" s="59" t="s">
        <v>51</v>
      </c>
      <c r="D20" s="4"/>
      <c r="E20" s="32"/>
      <c r="F20" s="30"/>
      <c r="G20" s="4"/>
      <c r="H20" s="60"/>
      <c r="I20" s="61"/>
      <c r="J20" s="62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3"/>
      <c r="C21" s="31"/>
      <c r="D21" s="38"/>
      <c r="E21" s="35" t="s">
        <v>52</v>
      </c>
      <c r="F21" s="20"/>
      <c r="G21" s="4"/>
      <c r="H21" s="64"/>
      <c r="I21" s="65" t="s">
        <v>53</v>
      </c>
      <c r="J21" s="66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7" t="s">
        <v>52</v>
      </c>
      <c r="B22" s="36"/>
      <c r="C22" s="37"/>
      <c r="D22" s="38"/>
      <c r="E22" s="68">
        <f>sum(B25:B29)</f>
        <v>6266128.9</v>
      </c>
      <c r="F22" s="69" t="s">
        <v>55</v>
      </c>
      <c r="G22" s="4"/>
      <c r="H22" s="70" t="s">
        <v>18</v>
      </c>
      <c r="I22" s="71">
        <v>0.0</v>
      </c>
      <c r="J22" s="72">
        <f t="shared" ref="J22:J24" si="2">I22/30.4</f>
        <v>0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73">
        <f>A4+A8+B8+F6+C10+B10</f>
        <v>451</v>
      </c>
      <c r="C23" s="41"/>
      <c r="D23" s="38"/>
      <c r="E23" s="46">
        <f>E22/1000</f>
        <v>6266.1289</v>
      </c>
      <c r="F23" s="38" t="s">
        <v>57</v>
      </c>
      <c r="G23" s="4"/>
      <c r="H23" s="74" t="s">
        <v>58</v>
      </c>
      <c r="I23" s="75">
        <v>208.0</v>
      </c>
      <c r="J23" s="76">
        <f t="shared" si="2"/>
        <v>6.842105263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7853</v>
      </c>
      <c r="C24" s="69"/>
      <c r="D24" s="38"/>
      <c r="E24" s="79">
        <v>3.3E-5</v>
      </c>
      <c r="F24" s="38" t="s">
        <v>60</v>
      </c>
      <c r="G24" s="4"/>
      <c r="H24" s="80" t="s">
        <v>61</v>
      </c>
      <c r="I24" s="81">
        <v>1300000.0</v>
      </c>
      <c r="J24" s="82">
        <f t="shared" si="2"/>
        <v>42763.15789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0</v>
      </c>
      <c r="C25" s="85" t="s">
        <v>55</v>
      </c>
      <c r="D25" s="38"/>
      <c r="E25" s="86"/>
      <c r="F25" s="87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12">
        <f>(F4*0.1)*3</f>
        <v>12828.9</v>
      </c>
      <c r="C26" s="41" t="s">
        <v>55</v>
      </c>
      <c r="D26" s="88" t="s">
        <v>63</v>
      </c>
      <c r="E26" s="51">
        <f>E22*E24</f>
        <v>206.7822537</v>
      </c>
      <c r="F26" s="89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2">
        <f>((B24+B23)*750)</f>
        <v>6228000</v>
      </c>
      <c r="C27" s="41" t="s">
        <v>55</v>
      </c>
      <c r="D27" s="4"/>
      <c r="E27" s="36"/>
      <c r="F27" s="4"/>
      <c r="G27" s="4"/>
      <c r="H27" s="4"/>
      <c r="I27" s="4"/>
      <c r="J27" s="4"/>
      <c r="K27" s="63"/>
      <c r="L27" s="63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2">
        <f>B4</f>
        <v>25300</v>
      </c>
      <c r="C28" s="41" t="s">
        <v>55</v>
      </c>
      <c r="D28" s="38"/>
      <c r="E28" s="91" t="s">
        <v>66</v>
      </c>
      <c r="F28" s="92"/>
      <c r="G28" s="4"/>
      <c r="H28" s="4"/>
      <c r="I28" s="4"/>
      <c r="J28" s="4"/>
      <c r="K28" s="63"/>
      <c r="L28" s="63"/>
      <c r="M28" s="4"/>
      <c r="N28" s="4"/>
      <c r="O28" s="4"/>
      <c r="P28" s="4"/>
      <c r="Q28" s="4"/>
      <c r="R28" s="4"/>
      <c r="S28" s="4"/>
      <c r="T28" s="4"/>
    </row>
    <row r="29">
      <c r="A29" s="57" t="s">
        <v>67</v>
      </c>
      <c r="B29" s="93"/>
      <c r="C29" s="59" t="s">
        <v>68</v>
      </c>
      <c r="D29" s="38"/>
      <c r="E29" s="42" t="str">
        <f>B34/B33</f>
        <v>#DIV/0!</v>
      </c>
      <c r="F29" s="94" t="s">
        <v>31</v>
      </c>
      <c r="G29" s="4"/>
      <c r="H29" s="4"/>
      <c r="I29" s="4"/>
      <c r="J29" s="4"/>
      <c r="K29" s="4"/>
      <c r="L29" s="63"/>
      <c r="M29" s="4"/>
      <c r="N29" s="4"/>
      <c r="O29" s="4"/>
      <c r="P29" s="4"/>
      <c r="Q29" s="4"/>
      <c r="R29" s="4"/>
      <c r="S29" s="4"/>
      <c r="T29" s="4"/>
    </row>
    <row r="30">
      <c r="A30" s="20"/>
      <c r="B30" s="95"/>
      <c r="C30" s="31"/>
      <c r="D30" s="38"/>
      <c r="E30" s="68">
        <f>B35</f>
        <v>0</v>
      </c>
      <c r="F30" s="38" t="s">
        <v>69</v>
      </c>
      <c r="G30" s="4"/>
      <c r="H30" s="4"/>
      <c r="I30" s="4"/>
      <c r="J30" s="4"/>
      <c r="K30" s="63"/>
      <c r="L30" s="63"/>
      <c r="M30" s="4"/>
      <c r="N30" s="4"/>
      <c r="O30" s="4"/>
      <c r="P30" s="4"/>
      <c r="Q30" s="4"/>
      <c r="R30" s="4"/>
      <c r="S30" s="4"/>
      <c r="T30" s="4"/>
    </row>
    <row r="31">
      <c r="A31" s="96" t="s">
        <v>66</v>
      </c>
      <c r="B31" s="36"/>
      <c r="C31" s="37"/>
      <c r="D31" s="38"/>
      <c r="E31" s="68" t="str">
        <f>E30*E29</f>
        <v>#DIV/0!</v>
      </c>
      <c r="F31" s="38" t="s">
        <v>70</v>
      </c>
      <c r="G31" s="4"/>
      <c r="H31" s="4"/>
      <c r="I31" s="4"/>
      <c r="J31" s="4"/>
      <c r="K31" s="63"/>
      <c r="L31" s="63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2">
        <v>1.5</v>
      </c>
      <c r="C32" s="41" t="s">
        <v>34</v>
      </c>
      <c r="D32" s="38"/>
      <c r="E32" s="47" t="str">
        <f>E30-E33</f>
        <v>#DIV/0!</v>
      </c>
      <c r="F32" s="97" t="s">
        <v>72</v>
      </c>
      <c r="G32" s="4"/>
      <c r="H32" s="9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2">
        <f>A6</f>
        <v>0</v>
      </c>
      <c r="C33" s="99" t="s">
        <v>74</v>
      </c>
      <c r="D33" s="38"/>
      <c r="E33" s="51" t="str">
        <f>E30*E29</f>
        <v>#DIV/0!</v>
      </c>
      <c r="F33" s="100" t="s">
        <v>75</v>
      </c>
      <c r="G33" s="4"/>
      <c r="H33" s="9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2">
        <f>((B6*1000000+E8)*B32)/1024/1024</f>
        <v>0</v>
      </c>
      <c r="C34" s="41" t="s">
        <v>74</v>
      </c>
      <c r="D34" s="4"/>
      <c r="E34" s="101"/>
      <c r="F34" s="10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3" t="s">
        <v>77</v>
      </c>
      <c r="B35" s="104">
        <f>B33/30</f>
        <v>0</v>
      </c>
      <c r="C35" s="59" t="s">
        <v>74</v>
      </c>
      <c r="D35" s="77"/>
      <c r="E35" s="105" t="s">
        <v>78</v>
      </c>
      <c r="F35" s="10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7" t="s">
        <v>79</v>
      </c>
      <c r="F36" s="78">
        <f>E16</f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7" t="s">
        <v>80</v>
      </c>
      <c r="F37" s="78">
        <f>E22</f>
        <v>6266128.9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7" t="s">
        <v>81</v>
      </c>
      <c r="F38" s="78" t="str">
        <f>E32+E33</f>
        <v>#DIV/0!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7" t="s">
        <v>58</v>
      </c>
      <c r="F39" s="78">
        <f>E4</f>
        <v>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8" t="s">
        <v>82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09" t="s">
        <v>83</v>
      </c>
      <c r="F46" s="1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