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D Usage to Coralogix" sheetId="1" r:id="rId5"/>
  </sheets>
  <definedNames/>
  <calcPr/>
</workbook>
</file>

<file path=xl/sharedStrings.xml><?xml version="1.0" encoding="utf-8"?>
<sst xmlns="http://schemas.openxmlformats.org/spreadsheetml/2006/main" count="108" uniqueCount="84">
  <si>
    <t>DD Usage</t>
  </si>
  <si>
    <t>Infra Hosts</t>
  </si>
  <si>
    <t>Custom Metrics</t>
  </si>
  <si>
    <t>Indexed Logs - Live &amp; Rehydrated (Million)</t>
  </si>
  <si>
    <t>Indexed Logs - 3 Day Retention (Million)</t>
  </si>
  <si>
    <t>Rum Sessions</t>
  </si>
  <si>
    <t>Serverless Invocation</t>
  </si>
  <si>
    <t>Ingested Spans (GB)</t>
  </si>
  <si>
    <t>Indexed Spans (Million)</t>
  </si>
  <si>
    <t>Ingested Logs (Live &amp; Rehydrated) (GB)</t>
  </si>
  <si>
    <t>Indexed Logs - 7 Day Retention (Million)</t>
  </si>
  <si>
    <t>Analyzed Logs - (Security) - 15m retention  (GB)</t>
  </si>
  <si>
    <t>Fargate Tasks</t>
  </si>
  <si>
    <t>APM Hosts</t>
  </si>
  <si>
    <t>Profiled Hosts</t>
  </si>
  <si>
    <t>Containers</t>
  </si>
  <si>
    <t>Profiled Containers</t>
  </si>
  <si>
    <t>Custom Events</t>
  </si>
  <si>
    <t>Serverless Workload Functions</t>
  </si>
  <si>
    <t>Error Tracking Events</t>
  </si>
  <si>
    <t>APM Fargate Tasks</t>
  </si>
  <si>
    <t>Profiled Fargate Tasks</t>
  </si>
  <si>
    <t>Convert Hourly</t>
  </si>
  <si>
    <t>Coralogix Sizing</t>
  </si>
  <si>
    <t>Hourly</t>
  </si>
  <si>
    <t>Hosts</t>
  </si>
  <si>
    <t>Enter Hourly Infra Hosts</t>
  </si>
  <si>
    <t>Logs</t>
  </si>
  <si>
    <t>Enter Hourly Containers</t>
  </si>
  <si>
    <t>Total Ingested Logs</t>
  </si>
  <si>
    <t>GB/month</t>
  </si>
  <si>
    <t>Current indexed percentage</t>
  </si>
  <si>
    <t>Enter Hourly Profiled Containers</t>
  </si>
  <si>
    <t>Avg log size</t>
  </si>
  <si>
    <t>KB</t>
  </si>
  <si>
    <t>Total GB Logs / Day</t>
  </si>
  <si>
    <t>Enter Hourly APM Hosts</t>
  </si>
  <si>
    <t>Total Indexed Logs</t>
  </si>
  <si>
    <t>Logs/month</t>
  </si>
  <si>
    <t>GB / Day  (FS) / 50%</t>
  </si>
  <si>
    <t>Enter Hourly Profiled Hosts</t>
  </si>
  <si>
    <t>Total Indexed Logs Size (Bytes)</t>
  </si>
  <si>
    <t>Bytes/month</t>
  </si>
  <si>
    <t>GB / Day  (Mon) / 40%</t>
  </si>
  <si>
    <t>Network hosts</t>
  </si>
  <si>
    <t>Enter Hourly Network hosts</t>
  </si>
  <si>
    <t>Total Indexed Logs Size (GB)</t>
  </si>
  <si>
    <t>GB/ Day  (Comp) / 10%</t>
  </si>
  <si>
    <t>Custom Metric Hours</t>
  </si>
  <si>
    <t>Enter Hourly Custom Metrics</t>
  </si>
  <si>
    <t>Total Indexed (GB)</t>
  </si>
  <si>
    <t xml:space="preserve"> GB / Day</t>
  </si>
  <si>
    <t>Metrics</t>
  </si>
  <si>
    <t>Monthly</t>
  </si>
  <si>
    <t>Daily</t>
  </si>
  <si>
    <t>TS (NumSeries)</t>
  </si>
  <si>
    <t>Enter Monthly Serverless Workload Functions</t>
  </si>
  <si>
    <t>GB / Day</t>
  </si>
  <si>
    <t>RUM Sessions</t>
  </si>
  <si>
    <t>Enter Monthly RUM Sessions</t>
  </si>
  <si>
    <t>TS to Units</t>
  </si>
  <si>
    <t>Serverless Invocations</t>
  </si>
  <si>
    <t>Enter Monthly Serverless Invocations</t>
  </si>
  <si>
    <r>
      <rPr>
        <rFont val="Plus Jakarta Sans"/>
        <color rgb="FF666666"/>
        <sz val="9.0"/>
      </rPr>
      <t xml:space="preserve">3 metric labels × 10% unique dimensions × </t>
    </r>
    <r>
      <rPr>
        <rFont val="Plus Jakarta Sans"/>
        <b/>
        <color rgb="FF666666"/>
        <sz val="9.0"/>
      </rPr>
      <t>daily invocations</t>
    </r>
  </si>
  <si>
    <t xml:space="preserve">Metrics Units / Day </t>
  </si>
  <si>
    <t>AVG 750 time series per node</t>
  </si>
  <si>
    <t>Tracing</t>
  </si>
  <si>
    <t>Promethues Metrics</t>
  </si>
  <si>
    <t>NumSeries</t>
  </si>
  <si>
    <t>Total GB / Day (Ingest)</t>
  </si>
  <si>
    <t>Indexed Tracing GB/Day</t>
  </si>
  <si>
    <t>Avg span size</t>
  </si>
  <si>
    <t>GB Traces Archive</t>
  </si>
  <si>
    <t>Ingested spans</t>
  </si>
  <si>
    <t>GB/Month</t>
  </si>
  <si>
    <t>GB Traces Indexed</t>
  </si>
  <si>
    <t>Indexed spans</t>
  </si>
  <si>
    <t>Daily Ingested spans (Bytes)</t>
  </si>
  <si>
    <t>Totals</t>
  </si>
  <si>
    <t>Logs (GB)</t>
  </si>
  <si>
    <t>Metrics (NS)</t>
  </si>
  <si>
    <t>Tracing (GB)</t>
  </si>
  <si>
    <t>RUM Errors</t>
  </si>
  <si>
    <t>Apply this information to the TCO Calculator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</si>
</sst>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 yyyy"/>
  </numFmts>
  <fonts count="5">
    <font>
      <sz val="10.0"/>
      <color rgb="FF000000"/>
      <name val="Arial"/>
      <scheme val="minor"/>
    </font>
    <font>
      <b/>
      <sz val="9.0"/>
      <color theme="1"/>
      <name val="Plus Jakarta Sans"/>
    </font>
    <font/>
    <font>
      <sz val="9.0"/>
      <color theme="1"/>
      <name val="Plus Jakarta Sans"/>
    </font>
    <font>
      <sz val="9.0"/>
      <color rgb="FF666666"/>
      <name val="Plus Jakarta Sans"/>
    </font>
  </fonts>
  <fills count="7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A5DAB1"/>
        <bgColor rgb="FFA5DAB1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3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3" fontId="1" numFmtId="0" xfId="0" applyAlignment="1" applyBorder="1" applyFill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readingOrder="0" shrinkToFit="0" vertical="top" wrapText="1"/>
    </xf>
    <xf borderId="6" fillId="0" fontId="3" numFmtId="1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vertical="bottom"/>
    </xf>
    <xf borderId="6" fillId="3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shrinkToFit="0" vertical="bottom" wrapText="1"/>
    </xf>
    <xf borderId="7" fillId="3" fontId="1" numFmtId="0" xfId="0" applyAlignment="1" applyBorder="1" applyFont="1">
      <alignment shrinkToFit="0" vertical="bottom" wrapText="1"/>
    </xf>
    <xf borderId="6" fillId="0" fontId="3" numFmtId="1" xfId="0" applyAlignment="1" applyBorder="1" applyFont="1" applyNumberFormat="1">
      <alignment readingOrder="0" vertical="bottom"/>
    </xf>
    <xf borderId="6" fillId="0" fontId="3" numFmtId="3" xfId="0" applyAlignment="1" applyBorder="1" applyFont="1" applyNumberFormat="1">
      <alignment readingOrder="0" vertical="bottom"/>
    </xf>
    <xf borderId="7" fillId="0" fontId="3" numFmtId="3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10" fillId="0" fontId="2" numFmtId="0" xfId="0" applyBorder="1" applyFont="1"/>
    <xf borderId="11" fillId="0" fontId="2" numFmtId="0" xfId="0" applyBorder="1" applyFont="1"/>
    <xf borderId="12" fillId="4" fontId="1" numFmtId="0" xfId="0" applyAlignment="1" applyBorder="1" applyFill="1" applyFont="1">
      <alignment horizontal="center" vertical="bottom"/>
    </xf>
    <xf borderId="8" fillId="0" fontId="2" numFmtId="0" xfId="0" applyBorder="1" applyFont="1"/>
    <xf borderId="13" fillId="0" fontId="2" numFmtId="0" xfId="0" applyBorder="1" applyFont="1"/>
    <xf borderId="14" fillId="0" fontId="3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8" fillId="0" fontId="3" numFmtId="1" xfId="0" applyAlignment="1" applyBorder="1" applyFont="1" applyNumberFormat="1">
      <alignment vertical="bottom"/>
    </xf>
    <xf borderId="15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3" fillId="0" fontId="1" numFmtId="0" xfId="0" applyAlignment="1" applyBorder="1" applyFont="1">
      <alignment vertical="bottom"/>
    </xf>
    <xf borderId="8" fillId="0" fontId="3" numFmtId="3" xfId="0" applyAlignment="1" applyBorder="1" applyFont="1" applyNumberFormat="1">
      <alignment vertical="bottom"/>
    </xf>
    <xf borderId="8" fillId="0" fontId="3" numFmtId="164" xfId="0" applyAlignment="1" applyBorder="1" applyFont="1" applyNumberFormat="1">
      <alignment vertical="bottom"/>
    </xf>
    <xf borderId="16" fillId="0" fontId="3" numFmtId="0" xfId="0" applyAlignment="1" applyBorder="1" applyFont="1">
      <alignment vertical="bottom"/>
    </xf>
    <xf borderId="13" fillId="0" fontId="1" numFmtId="1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15" fillId="0" fontId="3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6" fillId="0" fontId="1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6" fillId="0" fontId="3" numFmtId="2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5" fontId="1" numFmtId="1" xfId="0" applyAlignment="1" applyFill="1" applyFont="1" applyNumberFormat="1">
      <alignment horizontal="right" vertical="bottom"/>
    </xf>
    <xf borderId="16" fillId="5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8" fillId="0" fontId="3" numFmtId="1" xfId="0" applyAlignment="1" applyBorder="1" applyFont="1" applyNumberFormat="1">
      <alignment horizontal="right" vertical="bottom"/>
    </xf>
    <xf borderId="8" fillId="5" fontId="1" numFmtId="1" xfId="0" applyAlignment="1" applyBorder="1" applyFont="1" applyNumberFormat="1">
      <alignment horizontal="right" vertical="bottom"/>
    </xf>
    <xf borderId="13" fillId="5" fontId="1" numFmtId="164" xfId="0" applyAlignment="1" applyBorder="1" applyFont="1" applyNumberFormat="1">
      <alignment vertical="bottom"/>
    </xf>
    <xf borderId="19" fillId="0" fontId="3" numFmtId="0" xfId="0" applyAlignment="1" applyBorder="1" applyFont="1">
      <alignment vertical="bottom"/>
    </xf>
    <xf borderId="20" fillId="0" fontId="3" numFmtId="3" xfId="0" applyAlignment="1" applyBorder="1" applyFont="1" applyNumberFormat="1">
      <alignment horizontal="right" readingOrder="0" vertical="bottom"/>
    </xf>
    <xf borderId="21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22" fillId="0" fontId="3" numFmtId="0" xfId="0" applyAlignment="1" applyBorder="1" applyFont="1">
      <alignment vertical="bottom"/>
    </xf>
    <xf borderId="22" fillId="0" fontId="3" numFmtId="2" xfId="0" applyAlignment="1" applyBorder="1" applyFont="1" applyNumberFormat="1">
      <alignment horizontal="right" vertical="bottom"/>
    </xf>
    <xf borderId="13" fillId="0" fontId="3" numFmtId="164" xfId="0" applyAlignment="1" applyBorder="1" applyFont="1" applyNumberFormat="1">
      <alignment vertical="bottom"/>
    </xf>
    <xf borderId="23" fillId="0" fontId="3" numFmtId="3" xfId="0" applyAlignment="1" applyBorder="1" applyFont="1" applyNumberFormat="1">
      <alignment vertical="bottom"/>
    </xf>
    <xf borderId="24" fillId="0" fontId="2" numFmtId="0" xfId="0" applyBorder="1" applyFont="1"/>
    <xf borderId="25" fillId="0" fontId="2" numFmtId="0" xfId="0" applyBorder="1" applyFont="1"/>
    <xf borderId="0" fillId="0" fontId="3" numFmtId="3" xfId="0" applyAlignment="1" applyFont="1" applyNumberFormat="1">
      <alignment vertical="bottom"/>
    </xf>
    <xf borderId="26" fillId="0" fontId="3" numFmtId="3" xfId="0" applyAlignment="1" applyBorder="1" applyFont="1" applyNumberFormat="1">
      <alignment vertical="bottom"/>
    </xf>
    <xf borderId="27" fillId="0" fontId="1" numFmtId="3" xfId="0" applyAlignment="1" applyBorder="1" applyFont="1" applyNumberFormat="1">
      <alignment vertical="bottom"/>
    </xf>
    <xf borderId="3" fillId="0" fontId="1" numFmtId="3" xfId="0" applyAlignment="1" applyBorder="1" applyFont="1" applyNumberFormat="1">
      <alignment vertical="bottom"/>
    </xf>
    <xf borderId="13" fillId="0" fontId="1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16" fillId="0" fontId="3" numFmtId="164" xfId="0" applyAlignment="1" applyBorder="1" applyFont="1" applyNumberFormat="1">
      <alignment vertical="bottom"/>
    </xf>
    <xf borderId="28" fillId="0" fontId="3" numFmtId="3" xfId="0" applyAlignment="1" applyBorder="1" applyFont="1" applyNumberFormat="1">
      <alignment vertical="bottom"/>
    </xf>
    <xf borderId="29" fillId="0" fontId="3" numFmtId="3" xfId="0" applyAlignment="1" applyBorder="1" applyFont="1" applyNumberFormat="1">
      <alignment horizontal="right" readingOrder="0" vertical="bottom"/>
    </xf>
    <xf borderId="30" fillId="0" fontId="3" numFmtId="1" xfId="0" applyAlignment="1" applyBorder="1" applyFont="1" applyNumberFormat="1">
      <alignment horizontal="right" vertical="bottom"/>
    </xf>
    <xf borderId="6" fillId="0" fontId="3" numFmtId="1" xfId="0" applyAlignment="1" applyBorder="1" applyFont="1" applyNumberFormat="1">
      <alignment horizontal="right" vertical="bottom"/>
    </xf>
    <xf borderId="14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readingOrder="0" vertical="bottom"/>
    </xf>
    <xf borderId="18" fillId="0" fontId="3" numFmtId="3" xfId="0" applyAlignment="1" applyBorder="1" applyFont="1" applyNumberFormat="1">
      <alignment horizontal="right" vertical="bottom"/>
    </xf>
    <xf borderId="31" fillId="0" fontId="3" numFmtId="0" xfId="0" applyAlignment="1" applyBorder="1" applyFont="1">
      <alignment vertical="bottom"/>
    </xf>
    <xf borderId="31" fillId="0" fontId="3" numFmtId="3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2" fillId="0" fontId="3" numFmtId="3" xfId="0" applyAlignment="1" applyBorder="1" applyFont="1" applyNumberFormat="1">
      <alignment vertical="bottom"/>
    </xf>
    <xf borderId="33" fillId="0" fontId="3" numFmtId="3" xfId="0" applyAlignment="1" applyBorder="1" applyFont="1" applyNumberFormat="1">
      <alignment horizontal="right" readingOrder="0" vertical="bottom"/>
    </xf>
    <xf borderId="34" fillId="0" fontId="3" numFmtId="3" xfId="0" applyAlignment="1" applyBorder="1" applyFont="1" applyNumberFormat="1">
      <alignment horizontal="right" vertical="bottom"/>
    </xf>
    <xf borderId="35" fillId="0" fontId="3" numFmtId="0" xfId="0" applyAlignment="1" applyBorder="1" applyFont="1">
      <alignment vertical="bottom"/>
    </xf>
    <xf borderId="35" fillId="0" fontId="3" numFmtId="3" xfId="0" applyAlignment="1" applyBorder="1" applyFont="1" applyNumberFormat="1">
      <alignment horizontal="right" vertical="bottom"/>
    </xf>
    <xf borderId="11" fillId="0" fontId="3" numFmtId="164" xfId="0" applyAlignment="1" applyBorder="1" applyFont="1" applyNumberFormat="1">
      <alignment vertical="bottom"/>
    </xf>
    <xf borderId="0" fillId="5" fontId="3" numFmtId="1" xfId="0" applyAlignment="1" applyFont="1" applyNumberFormat="1">
      <alignment vertical="bottom"/>
    </xf>
    <xf borderId="16" fillId="5" fontId="3" numFmtId="0" xfId="0" applyAlignment="1" applyBorder="1" applyFont="1">
      <alignment vertical="bottom"/>
    </xf>
    <xf borderId="6" fillId="6" fontId="3" numFmtId="3" xfId="0" applyAlignment="1" applyBorder="1" applyFill="1" applyFont="1" applyNumberFormat="1">
      <alignment horizontal="right" vertical="bottom"/>
    </xf>
    <xf borderId="16" fillId="0" fontId="4" numFmtId="0" xfId="0" applyAlignment="1" applyBorder="1" applyFont="1">
      <alignment shrinkToFit="0" vertical="bottom" wrapText="1"/>
    </xf>
    <xf borderId="13" fillId="5" fontId="1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3" fillId="0" fontId="1" numFmtId="3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vertical="bottom"/>
    </xf>
    <xf borderId="16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36" fillId="0" fontId="1" numFmtId="0" xfId="0" applyAlignment="1" applyBorder="1" applyFont="1">
      <alignment vertical="bottom"/>
    </xf>
    <xf borderId="16" fillId="5" fontId="1" numFmtId="3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15" fillId="0" fontId="3" numFmtId="0" xfId="0" applyAlignment="1" applyBorder="1" applyFont="1">
      <alignment vertical="bottom"/>
    </xf>
    <xf borderId="13" fillId="5" fontId="1" numFmtId="3" xfId="0" applyAlignment="1" applyBorder="1" applyFont="1" applyNumberFormat="1">
      <alignment vertical="bottom"/>
    </xf>
    <xf borderId="4" fillId="0" fontId="3" numFmtId="1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vertical="bottom"/>
    </xf>
    <xf borderId="37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horizontal="right" vertical="bottom"/>
    </xf>
    <xf borderId="6" fillId="0" fontId="1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0" fillId="5" fontId="1" numFmtId="1" xfId="0" applyAlignment="1" applyFont="1" applyNumberFormat="1">
      <alignment vertical="bottom"/>
    </xf>
    <xf borderId="4" fillId="5" fontId="1" numFmtId="1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743200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1533525</xdr:colOff>
      <xdr:row>40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152400</xdr:colOff>
      <xdr:row>0</xdr:row>
      <xdr:rowOff>85725</xdr:rowOff>
    </xdr:from>
    <xdr:ext cx="1790700" cy="1790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0</xdr:row>
      <xdr:rowOff>152400</xdr:rowOff>
    </xdr:from>
    <xdr:ext cx="3267075" cy="1724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0</xdr:row>
      <xdr:rowOff>0</xdr:rowOff>
    </xdr:from>
    <xdr:ext cx="1552575" cy="15525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26</xdr:row>
      <xdr:rowOff>200025</xdr:rowOff>
    </xdr:from>
    <xdr:ext cx="10534650" cy="43719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42</xdr:row>
      <xdr:rowOff>133350</xdr:rowOff>
    </xdr:from>
    <xdr:ext cx="8543925" cy="447675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1.5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1" max="11" width="32.63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9" t="s">
        <v>4</v>
      </c>
      <c r="E3" s="7" t="s">
        <v>5</v>
      </c>
      <c r="F3" s="7" t="s">
        <v>6</v>
      </c>
      <c r="G3" s="4"/>
      <c r="P3" s="4"/>
      <c r="Q3" s="4"/>
      <c r="R3" s="4"/>
      <c r="S3" s="4"/>
      <c r="T3" s="4"/>
    </row>
    <row r="4">
      <c r="A4" s="10">
        <v>1494.0</v>
      </c>
      <c r="B4" s="11">
        <v>191000.0</v>
      </c>
      <c r="C4" s="11">
        <v>5.0</v>
      </c>
      <c r="D4" s="11"/>
      <c r="E4" s="12"/>
      <c r="F4" s="12">
        <v>8157894.736842106</v>
      </c>
      <c r="G4" s="4"/>
      <c r="P4" s="4"/>
      <c r="Q4" s="4"/>
      <c r="R4" s="4"/>
      <c r="S4" s="4"/>
      <c r="T4" s="4"/>
    </row>
    <row r="5">
      <c r="A5" s="6" t="s">
        <v>7</v>
      </c>
      <c r="B5" s="8" t="s">
        <v>8</v>
      </c>
      <c r="C5" s="8" t="s">
        <v>9</v>
      </c>
      <c r="D5" s="9" t="s">
        <v>10</v>
      </c>
      <c r="E5" s="7" t="s">
        <v>11</v>
      </c>
      <c r="F5" s="13" t="s">
        <v>12</v>
      </c>
      <c r="G5" s="4"/>
      <c r="P5" s="4"/>
      <c r="Q5" s="4"/>
      <c r="R5" s="4"/>
      <c r="S5" s="4"/>
      <c r="T5" s="4"/>
    </row>
    <row r="6">
      <c r="A6" s="11">
        <v>157.0</v>
      </c>
      <c r="B6" s="11">
        <v>0.0</v>
      </c>
      <c r="C6" s="11">
        <v>0.0</v>
      </c>
      <c r="D6" s="11">
        <v>0.0</v>
      </c>
      <c r="E6" s="12">
        <v>0.0</v>
      </c>
      <c r="F6" s="11">
        <v>68.0</v>
      </c>
      <c r="G6" s="4"/>
      <c r="P6" s="4"/>
      <c r="Q6" s="4"/>
      <c r="R6" s="4"/>
      <c r="S6" s="4"/>
      <c r="T6" s="4"/>
    </row>
    <row r="7">
      <c r="A7" s="14" t="s">
        <v>13</v>
      </c>
      <c r="B7" s="15" t="s">
        <v>14</v>
      </c>
      <c r="C7" s="13" t="s">
        <v>15</v>
      </c>
      <c r="D7" s="13" t="s">
        <v>16</v>
      </c>
      <c r="E7" s="13" t="s">
        <v>17</v>
      </c>
      <c r="F7" s="16" t="s">
        <v>18</v>
      </c>
      <c r="G7" s="4"/>
      <c r="P7" s="4"/>
      <c r="Q7" s="4"/>
      <c r="R7" s="4"/>
      <c r="S7" s="4"/>
      <c r="T7" s="4"/>
    </row>
    <row r="8">
      <c r="A8" s="17">
        <v>42.0</v>
      </c>
      <c r="B8" s="18">
        <v>0.0</v>
      </c>
      <c r="C8" s="17">
        <v>4843.0</v>
      </c>
      <c r="D8" s="12">
        <v>0.0</v>
      </c>
      <c r="E8" s="11">
        <v>33000.0</v>
      </c>
      <c r="F8" s="19"/>
      <c r="G8" s="4"/>
      <c r="P8" s="4"/>
      <c r="Q8" s="4"/>
      <c r="R8" s="4"/>
      <c r="S8" s="4"/>
      <c r="T8" s="4"/>
    </row>
    <row r="9">
      <c r="A9" s="14" t="s">
        <v>19</v>
      </c>
      <c r="B9" s="13" t="s">
        <v>20</v>
      </c>
      <c r="C9" s="13" t="s">
        <v>21</v>
      </c>
      <c r="D9" s="4"/>
      <c r="E9" s="4"/>
      <c r="F9" s="4"/>
      <c r="G9" s="4"/>
      <c r="P9" s="4"/>
      <c r="Q9" s="4"/>
      <c r="R9" s="4"/>
      <c r="S9" s="4"/>
      <c r="T9" s="4"/>
    </row>
    <row r="10">
      <c r="A10" s="10">
        <v>0.0</v>
      </c>
      <c r="B10" s="11">
        <v>0.0</v>
      </c>
      <c r="C10" s="12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20"/>
      <c r="B11" s="20"/>
      <c r="C11" s="20"/>
      <c r="D11" s="20"/>
      <c r="E11" s="20"/>
      <c r="F11" s="20"/>
      <c r="G11" s="4"/>
      <c r="H11" s="21" t="s">
        <v>22</v>
      </c>
      <c r="I11" s="22"/>
      <c r="J11" s="23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4" t="s">
        <v>23</v>
      </c>
      <c r="B12" s="25"/>
      <c r="C12" s="25"/>
      <c r="D12" s="25"/>
      <c r="E12" s="25"/>
      <c r="F12" s="26"/>
      <c r="G12" s="4"/>
      <c r="H12" s="27"/>
      <c r="I12" s="28" t="s">
        <v>24</v>
      </c>
      <c r="J12" s="29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20"/>
      <c r="B13" s="30"/>
      <c r="C13" s="31"/>
      <c r="D13" s="4"/>
      <c r="E13" s="32"/>
      <c r="F13" s="4"/>
      <c r="G13" s="4"/>
      <c r="H13" s="27" t="s">
        <v>1</v>
      </c>
      <c r="I13" s="11">
        <v>978000.0</v>
      </c>
      <c r="J13" s="33">
        <f t="shared" ref="J13:J19" si="1">(I13/30/24)*1.1</f>
        <v>1494.166667</v>
      </c>
      <c r="K13" s="34" t="s">
        <v>26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5" t="s">
        <v>27</v>
      </c>
      <c r="B14" s="36"/>
      <c r="C14" s="37"/>
      <c r="D14" s="38"/>
      <c r="E14" s="39" t="s">
        <v>27</v>
      </c>
      <c r="F14" s="20"/>
      <c r="G14" s="4"/>
      <c r="H14" s="27" t="s">
        <v>15</v>
      </c>
      <c r="I14" s="11">
        <v>3170000.0</v>
      </c>
      <c r="J14" s="33">
        <f t="shared" si="1"/>
        <v>4843.055556</v>
      </c>
      <c r="K14" s="34" t="s">
        <v>28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40" t="s">
        <v>29</v>
      </c>
      <c r="B15" s="12">
        <f>C6+E6</f>
        <v>0</v>
      </c>
      <c r="C15" s="41" t="s">
        <v>30</v>
      </c>
      <c r="D15" s="38"/>
      <c r="E15" s="42" t="str">
        <f>B19/B15</f>
        <v>#DIV/0!</v>
      </c>
      <c r="F15" s="43" t="s">
        <v>31</v>
      </c>
      <c r="G15" s="4"/>
      <c r="H15" s="44" t="s">
        <v>16</v>
      </c>
      <c r="I15" s="12">
        <v>0.0</v>
      </c>
      <c r="J15" s="33">
        <f t="shared" si="1"/>
        <v>0</v>
      </c>
      <c r="K15" s="34" t="s">
        <v>32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40" t="s">
        <v>33</v>
      </c>
      <c r="B16" s="45">
        <v>2.5</v>
      </c>
      <c r="C16" s="41" t="s">
        <v>34</v>
      </c>
      <c r="D16" s="38"/>
      <c r="E16" s="46">
        <f>B15/30</f>
        <v>0</v>
      </c>
      <c r="F16" s="38" t="s">
        <v>35</v>
      </c>
      <c r="G16" s="4"/>
      <c r="H16" s="27" t="s">
        <v>13</v>
      </c>
      <c r="I16" s="11">
        <v>27800.0</v>
      </c>
      <c r="J16" s="33">
        <f t="shared" si="1"/>
        <v>42.47222222</v>
      </c>
      <c r="K16" s="34" t="s">
        <v>36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40" t="s">
        <v>37</v>
      </c>
      <c r="B17" s="12">
        <f>(C4+D4+D6)*1000000</f>
        <v>5000000</v>
      </c>
      <c r="C17" s="41" t="s">
        <v>38</v>
      </c>
      <c r="D17" s="38"/>
      <c r="E17" s="47">
        <f>E16*0.5</f>
        <v>0</v>
      </c>
      <c r="F17" s="48" t="s">
        <v>39</v>
      </c>
      <c r="G17" s="4"/>
      <c r="H17" s="44" t="s">
        <v>14</v>
      </c>
      <c r="I17" s="11">
        <v>0.0</v>
      </c>
      <c r="J17" s="33">
        <f t="shared" si="1"/>
        <v>0</v>
      </c>
      <c r="K17" s="34" t="s">
        <v>40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40" t="s">
        <v>41</v>
      </c>
      <c r="B18" s="12">
        <f>(B17*B16)*1024</f>
        <v>12800000000</v>
      </c>
      <c r="C18" s="41" t="s">
        <v>42</v>
      </c>
      <c r="D18" s="38"/>
      <c r="E18" s="47">
        <f>E16*0.4</f>
        <v>0</v>
      </c>
      <c r="F18" s="48" t="s">
        <v>43</v>
      </c>
      <c r="G18" s="4"/>
      <c r="H18" s="49" t="s">
        <v>44</v>
      </c>
      <c r="I18" s="12">
        <v>0.0</v>
      </c>
      <c r="J18" s="50">
        <f t="shared" si="1"/>
        <v>0</v>
      </c>
      <c r="K18" s="34" t="s">
        <v>45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40" t="s">
        <v>46</v>
      </c>
      <c r="B19" s="45">
        <f>B18/POW(1024,3)</f>
        <v>11.92092896</v>
      </c>
      <c r="C19" s="41" t="s">
        <v>30</v>
      </c>
      <c r="D19" s="38"/>
      <c r="E19" s="51">
        <f>E16*0.1</f>
        <v>0</v>
      </c>
      <c r="F19" s="52" t="s">
        <v>47</v>
      </c>
      <c r="G19" s="4"/>
      <c r="H19" s="53" t="s">
        <v>48</v>
      </c>
      <c r="I19" s="54">
        <v>0.0</v>
      </c>
      <c r="J19" s="55">
        <f t="shared" si="1"/>
        <v>0</v>
      </c>
      <c r="K19" s="56" t="s">
        <v>49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57" t="s">
        <v>50</v>
      </c>
      <c r="B20" s="58">
        <f>B19/30</f>
        <v>0.3973642985</v>
      </c>
      <c r="C20" s="59" t="s">
        <v>51</v>
      </c>
      <c r="D20" s="4"/>
      <c r="E20" s="32"/>
      <c r="F20" s="30"/>
      <c r="G20" s="4"/>
      <c r="H20" s="60"/>
      <c r="I20" s="61"/>
      <c r="J20" s="62"/>
      <c r="K20" s="30"/>
      <c r="L20" s="4"/>
      <c r="M20" s="4"/>
      <c r="N20" s="4"/>
      <c r="O20" s="4"/>
      <c r="P20" s="4"/>
      <c r="Q20" s="4"/>
      <c r="R20" s="4"/>
      <c r="S20" s="4"/>
      <c r="T20" s="4"/>
    </row>
    <row r="21">
      <c r="A21" s="20"/>
      <c r="B21" s="63"/>
      <c r="C21" s="31"/>
      <c r="D21" s="38"/>
      <c r="E21" s="35" t="s">
        <v>52</v>
      </c>
      <c r="F21" s="20"/>
      <c r="G21" s="4"/>
      <c r="H21" s="64"/>
      <c r="I21" s="65" t="s">
        <v>53</v>
      </c>
      <c r="J21" s="66" t="s">
        <v>54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67" t="s">
        <v>52</v>
      </c>
      <c r="B22" s="36"/>
      <c r="C22" s="37"/>
      <c r="D22" s="38"/>
      <c r="E22" s="68">
        <f>sum(B25:B29)</f>
        <v>5842039.474</v>
      </c>
      <c r="F22" s="69" t="s">
        <v>55</v>
      </c>
      <c r="G22" s="4"/>
      <c r="H22" s="70" t="s">
        <v>18</v>
      </c>
      <c r="I22" s="71">
        <v>0.0</v>
      </c>
      <c r="J22" s="72">
        <f t="shared" ref="J22:J24" si="2">I22/30.4</f>
        <v>0</v>
      </c>
      <c r="K22" s="34" t="s">
        <v>56</v>
      </c>
      <c r="L22" s="4"/>
      <c r="M22" s="4"/>
      <c r="N22" s="4"/>
      <c r="O22" s="4"/>
      <c r="P22" s="4"/>
      <c r="Q22" s="4"/>
      <c r="R22" s="4"/>
      <c r="S22" s="4"/>
      <c r="T22" s="4"/>
    </row>
    <row r="23">
      <c r="A23" s="40" t="s">
        <v>25</v>
      </c>
      <c r="B23" s="73">
        <f>A4+A8+B8+F6+C10+B10</f>
        <v>1604</v>
      </c>
      <c r="C23" s="41"/>
      <c r="D23" s="38"/>
      <c r="E23" s="46">
        <f>E22/1000</f>
        <v>5842.039474</v>
      </c>
      <c r="F23" s="38" t="s">
        <v>57</v>
      </c>
      <c r="G23" s="4"/>
      <c r="H23" s="74" t="s">
        <v>58</v>
      </c>
      <c r="I23" s="75">
        <v>0.0</v>
      </c>
      <c r="J23" s="76">
        <f t="shared" si="2"/>
        <v>0</v>
      </c>
      <c r="K23" s="34" t="s">
        <v>59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77" t="s">
        <v>15</v>
      </c>
      <c r="B24" s="78">
        <f>C8+D8</f>
        <v>4843</v>
      </c>
      <c r="C24" s="69"/>
      <c r="D24" s="38"/>
      <c r="E24" s="79">
        <v>3.3E-5</v>
      </c>
      <c r="F24" s="38" t="s">
        <v>60</v>
      </c>
      <c r="G24" s="4"/>
      <c r="H24" s="80" t="s">
        <v>61</v>
      </c>
      <c r="I24" s="81">
        <v>2.48E8</v>
      </c>
      <c r="J24" s="82">
        <f t="shared" si="2"/>
        <v>8157894.737</v>
      </c>
      <c r="K24" s="34" t="s">
        <v>62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83" t="s">
        <v>18</v>
      </c>
      <c r="B25" s="84">
        <f>(F8*0.1)*3</f>
        <v>0</v>
      </c>
      <c r="C25" s="85" t="s">
        <v>55</v>
      </c>
      <c r="D25" s="38"/>
      <c r="E25" s="86"/>
      <c r="F25" s="87"/>
      <c r="G25" s="4"/>
      <c r="H25" s="4"/>
      <c r="I25" s="30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0" t="s">
        <v>6</v>
      </c>
      <c r="B26" s="88">
        <f>F4/30*3</f>
        <v>815789.4737</v>
      </c>
      <c r="C26" s="41" t="s">
        <v>55</v>
      </c>
      <c r="D26" s="89" t="s">
        <v>63</v>
      </c>
      <c r="E26" s="51">
        <f>E22*E24</f>
        <v>192.7873026</v>
      </c>
      <c r="F26" s="90" t="s">
        <v>64</v>
      </c>
      <c r="G26" s="4"/>
      <c r="H26" s="4"/>
      <c r="I26" s="30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0" t="s">
        <v>65</v>
      </c>
      <c r="B27" s="12">
        <f>((B24+B23)*750)</f>
        <v>4835250</v>
      </c>
      <c r="C27" s="41" t="s">
        <v>55</v>
      </c>
      <c r="D27" s="4"/>
      <c r="E27" s="36"/>
      <c r="F27" s="4"/>
      <c r="G27" s="4"/>
      <c r="H27" s="4"/>
      <c r="I27" s="4"/>
      <c r="J27" s="4"/>
      <c r="K27" s="63"/>
      <c r="L27" s="63"/>
      <c r="M27" s="4"/>
      <c r="N27" s="4"/>
      <c r="O27" s="4"/>
      <c r="P27" s="4"/>
      <c r="Q27" s="4"/>
      <c r="R27" s="4"/>
      <c r="S27" s="4"/>
      <c r="T27" s="4"/>
    </row>
    <row r="28">
      <c r="A28" s="91" t="s">
        <v>2</v>
      </c>
      <c r="B28" s="88">
        <f>B4</f>
        <v>191000</v>
      </c>
      <c r="C28" s="41" t="s">
        <v>55</v>
      </c>
      <c r="D28" s="38"/>
      <c r="E28" s="92" t="s">
        <v>66</v>
      </c>
      <c r="F28" s="93"/>
      <c r="G28" s="4"/>
      <c r="H28" s="4"/>
      <c r="I28" s="4"/>
      <c r="J28" s="4"/>
      <c r="K28" s="63"/>
      <c r="L28" s="63"/>
      <c r="M28" s="4"/>
      <c r="N28" s="4"/>
      <c r="O28" s="4"/>
      <c r="P28" s="4"/>
      <c r="Q28" s="4"/>
      <c r="R28" s="4"/>
      <c r="S28" s="4"/>
      <c r="T28" s="4"/>
    </row>
    <row r="29">
      <c r="A29" s="57" t="s">
        <v>67</v>
      </c>
      <c r="B29" s="94"/>
      <c r="C29" s="59" t="s">
        <v>68</v>
      </c>
      <c r="D29" s="38"/>
      <c r="E29" s="42">
        <f>B34/B33</f>
        <v>0.0003006807558</v>
      </c>
      <c r="F29" s="95" t="s">
        <v>31</v>
      </c>
      <c r="G29" s="4"/>
      <c r="H29" s="4"/>
      <c r="I29" s="4"/>
      <c r="J29" s="4"/>
      <c r="K29" s="4"/>
      <c r="L29" s="63"/>
      <c r="M29" s="4"/>
      <c r="N29" s="4"/>
      <c r="O29" s="4"/>
      <c r="P29" s="4"/>
      <c r="Q29" s="4"/>
      <c r="R29" s="4"/>
      <c r="S29" s="4"/>
      <c r="T29" s="4"/>
    </row>
    <row r="30">
      <c r="A30" s="20"/>
      <c r="B30" s="96"/>
      <c r="C30" s="31"/>
      <c r="D30" s="38"/>
      <c r="E30" s="68">
        <f>B35</f>
        <v>5.233333333</v>
      </c>
      <c r="F30" s="38" t="s">
        <v>69</v>
      </c>
      <c r="G30" s="4"/>
      <c r="H30" s="4"/>
      <c r="I30" s="4"/>
      <c r="J30" s="4"/>
      <c r="K30" s="63"/>
      <c r="L30" s="63"/>
      <c r="M30" s="4"/>
      <c r="N30" s="4"/>
      <c r="O30" s="4"/>
      <c r="P30" s="4"/>
      <c r="Q30" s="4"/>
      <c r="R30" s="4"/>
      <c r="S30" s="4"/>
      <c r="T30" s="4"/>
    </row>
    <row r="31">
      <c r="A31" s="97" t="s">
        <v>66</v>
      </c>
      <c r="B31" s="36"/>
      <c r="C31" s="37"/>
      <c r="D31" s="38"/>
      <c r="E31" s="68">
        <f>E30*E29</f>
        <v>0.001573562622</v>
      </c>
      <c r="F31" s="38" t="s">
        <v>70</v>
      </c>
      <c r="G31" s="4"/>
      <c r="H31" s="4"/>
      <c r="I31" s="4"/>
      <c r="J31" s="4"/>
      <c r="K31" s="63"/>
      <c r="L31" s="63"/>
      <c r="M31" s="4"/>
      <c r="N31" s="4"/>
      <c r="O31" s="4"/>
      <c r="P31" s="4"/>
      <c r="Q31" s="4"/>
      <c r="R31" s="4"/>
      <c r="S31" s="4"/>
      <c r="T31" s="4"/>
    </row>
    <row r="32">
      <c r="A32" s="27" t="s">
        <v>71</v>
      </c>
      <c r="B32" s="12">
        <v>1.5</v>
      </c>
      <c r="C32" s="41" t="s">
        <v>34</v>
      </c>
      <c r="D32" s="38"/>
      <c r="E32" s="47">
        <f>E30-E33</f>
        <v>5.231759771</v>
      </c>
      <c r="F32" s="98" t="s">
        <v>72</v>
      </c>
      <c r="G32" s="4"/>
      <c r="H32" s="9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27" t="s">
        <v>73</v>
      </c>
      <c r="B33" s="12">
        <f>A6</f>
        <v>157</v>
      </c>
      <c r="C33" s="100" t="s">
        <v>74</v>
      </c>
      <c r="D33" s="38"/>
      <c r="E33" s="51">
        <f>E30*E29</f>
        <v>0.001573562622</v>
      </c>
      <c r="F33" s="101" t="s">
        <v>75</v>
      </c>
      <c r="G33" s="4"/>
      <c r="H33" s="9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27" t="s">
        <v>76</v>
      </c>
      <c r="B34" s="12">
        <f>((B6*1000000+E8)*B32)/1024/1024</f>
        <v>0.04720687866</v>
      </c>
      <c r="C34" s="41" t="s">
        <v>74</v>
      </c>
      <c r="D34" s="4"/>
      <c r="E34" s="102"/>
      <c r="F34" s="10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04" t="s">
        <v>77</v>
      </c>
      <c r="B35" s="105">
        <f>B33/30</f>
        <v>5.233333333</v>
      </c>
      <c r="C35" s="59" t="s">
        <v>74</v>
      </c>
      <c r="D35" s="77"/>
      <c r="E35" s="106" t="s">
        <v>78</v>
      </c>
      <c r="F35" s="10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77"/>
      <c r="E36" s="108" t="s">
        <v>79</v>
      </c>
      <c r="F36" s="78">
        <f>E16</f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77"/>
      <c r="E37" s="108" t="s">
        <v>80</v>
      </c>
      <c r="F37" s="78">
        <f>E22</f>
        <v>5842039.474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77"/>
      <c r="E38" s="108" t="s">
        <v>81</v>
      </c>
      <c r="F38" s="78">
        <f>E32+E33</f>
        <v>5.233333333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77"/>
      <c r="E39" s="108" t="s">
        <v>58</v>
      </c>
      <c r="F39" s="78" t="str">
        <f>E4</f>
        <v/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77"/>
      <c r="E40" s="109" t="s">
        <v>82</v>
      </c>
      <c r="F40" s="12">
        <f>A10/30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30"/>
      <c r="F42" s="3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77"/>
      <c r="E46" s="110" t="s">
        <v>83</v>
      </c>
      <c r="F46" s="11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</sheetData>
  <mergeCells count="8">
    <mergeCell ref="A1:F1"/>
    <mergeCell ref="H1:I9"/>
    <mergeCell ref="J1:L9"/>
    <mergeCell ref="M1:O9"/>
    <mergeCell ref="H11:J11"/>
    <mergeCell ref="A12:F12"/>
    <mergeCell ref="H20:J20"/>
    <mergeCell ref="E46:F46"/>
  </mergeCells>
  <drawing r:id="rId1"/>
</worksheet>
</file>